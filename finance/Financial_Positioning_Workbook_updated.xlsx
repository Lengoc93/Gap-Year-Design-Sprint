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Updates" sheetId="1" state="visible" r:id="rId1"/>
    <sheet xmlns:r="http://schemas.openxmlformats.org/officeDocument/2006/relationships" name="1_Income" sheetId="2" state="visible" r:id="rId2"/>
    <sheet xmlns:r="http://schemas.openxmlformats.org/officeDocument/2006/relationships" name="2_Expenses" sheetId="3" state="visible" r:id="rId3"/>
    <sheet xmlns:r="http://schemas.openxmlformats.org/officeDocument/2006/relationships" name="3_Assets" sheetId="4" state="visible" r:id="rId4"/>
    <sheet xmlns:r="http://schemas.openxmlformats.org/officeDocument/2006/relationships" name="4_Debt" sheetId="5" state="visible" r:id="rId5"/>
    <sheet xmlns:r="http://schemas.openxmlformats.org/officeDocument/2006/relationships" name="5_Career" sheetId="6" state="visible" r:id="rId6"/>
    <sheet xmlns:r="http://schemas.openxmlformats.org/officeDocument/2006/relationships" name="6_Allocation" sheetId="7" state="visible" r:id="rId7"/>
    <sheet xmlns:r="http://schemas.openxmlformats.org/officeDocument/2006/relationships" name="7_CashFlow" sheetId="8" state="visible" r:id="rId8"/>
    <sheet xmlns:r="http://schemas.openxmlformats.org/officeDocument/2006/relationships" name="8_Scenarios" sheetId="9" state="visible" r:id="rId9"/>
    <sheet xmlns:r="http://schemas.openxmlformats.org/officeDocument/2006/relationships" name="9_MVF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mmm\ yyyy"/>
    <numFmt numFmtId="165" formatCode="m/d/yyyy"/>
    <numFmt numFmtId="166" formatCode="yyyy\-mm\-dd"/>
    <numFmt numFmtId="167" formatCode="0.0%"/>
    <numFmt numFmtId="168" formatCode="0.0"/>
    <numFmt numFmtId="169" formatCode="mmm\-yy"/>
  </numFmts>
  <fonts count="34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color rgb="FF1F4E78"/>
      <sz val="12"/>
    </font>
    <font>
      <name val="Calibri"/>
      <charset val="1"/>
      <family val="0"/>
      <b val="1"/>
      <color theme="1"/>
      <sz val="11"/>
    </font>
    <font>
      <name val="Calibri"/>
      <charset val="1"/>
      <family val="0"/>
      <i val="1"/>
      <color rgb="FF008000"/>
      <sz val="11"/>
    </font>
    <font>
      <name val="Calibri"/>
      <charset val="1"/>
      <family val="0"/>
      <b val="1"/>
      <color rgb="FF008000"/>
      <sz val="12"/>
    </font>
    <font>
      <name val="Calibri"/>
      <charset val="1"/>
      <family val="0"/>
      <b val="1"/>
      <color rgb="FF008000"/>
      <sz val="11"/>
    </font>
    <font>
      <name val="Calibri"/>
      <charset val="1"/>
      <family val="0"/>
      <b val="1"/>
      <color rgb="FFFF0000"/>
      <sz val="12"/>
    </font>
    <font>
      <name val="Calibri"/>
      <charset val="1"/>
      <family val="0"/>
      <i val="1"/>
      <color rgb="FF9966CC"/>
      <sz val="11"/>
    </font>
    <font>
      <name val="Calibri"/>
      <charset val="1"/>
      <family val="0"/>
      <b val="1"/>
      <color rgb="FFFF000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theme="1"/>
      <sz val="10"/>
    </font>
    <font>
      <name val="Calibri"/>
      <charset val="1"/>
      <family val="0"/>
      <b val="1"/>
      <color rgb="FFFF0000"/>
      <sz val="11"/>
    </font>
    <font>
      <name val="Calibri"/>
      <charset val="1"/>
      <family val="0"/>
      <color rgb="FF0000FF"/>
      <sz val="10"/>
      <u val="single"/>
    </font>
    <font>
      <name val="Calibri"/>
      <charset val="1"/>
      <family val="0"/>
      <b val="1"/>
      <color rgb="FFFF8C00"/>
      <sz val="11"/>
    </font>
    <font>
      <name val="Calibri"/>
      <charset val="1"/>
      <family val="0"/>
      <b val="1"/>
      <color rgb="FF1F4E78"/>
      <sz val="10"/>
    </font>
    <font>
      <name val="Calibri"/>
      <charset val="1"/>
      <family val="0"/>
      <strike val="1"/>
      <color rgb="FF999999"/>
      <sz val="10"/>
    </font>
    <font>
      <name val="Calibri"/>
      <charset val="1"/>
      <family val="0"/>
      <b val="1"/>
      <color rgb="FF1F4E78"/>
      <sz val="11"/>
    </font>
    <font>
      <name val="Calibri"/>
      <charset val="1"/>
      <family val="0"/>
      <b val="1"/>
      <color rgb="FF9966CC"/>
      <sz val="11"/>
    </font>
    <font>
      <name val="Calibri"/>
      <charset val="1"/>
      <family val="0"/>
      <b val="1"/>
      <color rgb="FFFFFFFF"/>
      <sz val="10"/>
    </font>
    <font>
      <name val="Arial"/>
      <family val="2"/>
      <sz val="10"/>
    </font>
    <font>
      <name val="Calibri"/>
      <charset val="1"/>
      <family val="0"/>
      <b val="1"/>
      <color theme="1"/>
      <sz val="10"/>
    </font>
    <font>
      <name val="Calibri"/>
      <charset val="1"/>
      <family val="0"/>
      <i val="1"/>
      <color rgb="FF666666"/>
      <sz val="9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9966CC"/>
      <sz val="10"/>
    </font>
    <font>
      <name val="Calibri"/>
      <charset val="1"/>
      <family val="0"/>
      <b val="1"/>
      <color rgb="FFFFA500"/>
      <sz val="11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b val="1"/>
      <color rgb="FF9966CC"/>
      <sz val="12"/>
    </font>
    <font>
      <name val="Calibri"/>
      <charset val="1"/>
      <family val="0"/>
      <b val="1"/>
      <color theme="1"/>
      <sz val="12"/>
    </font>
    <font>
      <name val="Cambria"/>
      <charset val="1"/>
      <family val="0"/>
      <b val="1"/>
      <color rgb="FF7B68EE"/>
      <sz val="11"/>
    </font>
    <font>
      <name val="Cambria"/>
      <charset val="1"/>
      <family val="0"/>
      <color rgb="FF5C524A"/>
      <sz val="10"/>
    </font>
  </fonts>
  <fills count="1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6DCE4"/>
      </patternFill>
    </fill>
    <fill>
      <patternFill patternType="solid">
        <fgColor rgb="FFFFE699"/>
        <bgColor rgb="FFFFF2CC"/>
      </patternFill>
    </fill>
    <fill>
      <patternFill patternType="solid">
        <fgColor rgb="FF4472C4"/>
        <bgColor rgb="FF7B68EE"/>
      </patternFill>
    </fill>
    <fill>
      <patternFill patternType="solid">
        <fgColor rgb="FF5B9BD5"/>
        <bgColor rgb="FF4472C4"/>
      </patternFill>
    </fill>
    <fill>
      <patternFill patternType="solid">
        <fgColor rgb="FFFFF2CC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D6DCE4"/>
      </patternFill>
    </fill>
    <fill>
      <patternFill patternType="solid">
        <fgColor rgb="FFFFC000"/>
        <bgColor rgb="FFFFA500"/>
      </patternFill>
    </fill>
    <fill>
      <patternFill patternType="solid">
        <fgColor rgb="FFFF6B6B"/>
        <bgColor rgb="FFFF8C00"/>
      </patternFill>
    </fill>
    <fill>
      <patternFill patternType="solid">
        <fgColor rgb="FFD6DCE4"/>
        <bgColor rgb="FFD3D3D3"/>
      </patternFill>
    </fill>
    <fill>
      <patternFill patternType="solid">
        <fgColor rgb="FFFFB3B3"/>
        <bgColor rgb="FFFF99CC"/>
      </patternFill>
    </fill>
    <fill>
      <patternFill patternType="solid">
        <fgColor rgb="FFD3D3D3"/>
        <bgColor rgb="FFD6DCE4"/>
      </patternFill>
    </fill>
    <fill>
      <patternFill patternType="solid">
        <fgColor rgb="FF92D050"/>
        <bgColor rgb="FF999999"/>
      </patternFill>
    </fill>
    <fill>
      <patternFill patternType="solid">
        <fgColor rgb="FFE6D5F0"/>
        <bgColor rgb="FFD6DCE4"/>
      </patternFill>
    </fill>
    <fill>
      <patternFill patternType="solid">
        <fgColor rgb="FF9966CC"/>
        <bgColor rgb="FF7B68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/>
    </xf>
    <xf numFmtId="3" fontId="14" fillId="7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3" fontId="14" fillId="8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3" fontId="14" fillId="9" borderId="1" applyAlignment="1" pivotButton="0" quotePrefix="0" xfId="0">
      <alignment horizontal="right" vertical="center"/>
    </xf>
    <xf numFmtId="166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3" fontId="6" fillId="1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3" fontId="6" fillId="11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3" fontId="10" fillId="11" borderId="1" applyAlignment="1" pivotButton="0" quotePrefix="0" xfId="0">
      <alignment horizontal="general" vertical="bottom"/>
    </xf>
    <xf numFmtId="0" fontId="18" fillId="12" borderId="0" applyAlignment="1" pivotButton="0" quotePrefix="0" xfId="0">
      <alignment horizontal="left" vertical="center" wrapText="1"/>
    </xf>
    <xf numFmtId="167" fontId="14" fillId="9" borderId="1" applyAlignment="1" pivotButton="0" quotePrefix="0" xfId="0">
      <alignment horizontal="right" vertical="center"/>
    </xf>
    <xf numFmtId="3" fontId="14" fillId="13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general" vertical="bottom"/>
    </xf>
    <xf numFmtId="3" fontId="19" fillId="14" borderId="1" applyAlignment="1" pivotButton="0" quotePrefix="0" xfId="0">
      <alignment horizontal="right" vertical="center"/>
    </xf>
    <xf numFmtId="167" fontId="19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 wrapText="1"/>
    </xf>
    <xf numFmtId="0" fontId="14" fillId="7" borderId="1" applyAlignment="1" pivotButton="0" quotePrefix="0" xfId="0">
      <alignment horizontal="left" vertical="center" wrapText="1"/>
    </xf>
    <xf numFmtId="167" fontId="14" fillId="9" borderId="0" applyAlignment="1" pivotButton="0" quotePrefix="0" xfId="0">
      <alignment horizontal="right" vertical="center"/>
    </xf>
    <xf numFmtId="3" fontId="6" fillId="15" borderId="1" applyAlignment="1" pivotButton="0" quotePrefix="0" xfId="0">
      <alignment horizontal="left" vertical="center"/>
    </xf>
    <xf numFmtId="3" fontId="0" fillId="0" borderId="0" applyAlignment="1" pivotButton="0" quotePrefix="0" xfId="0">
      <alignment horizontal="general" vertical="bottom"/>
    </xf>
    <xf numFmtId="0" fontId="20" fillId="12" borderId="0" applyAlignment="1" pivotButton="0" quotePrefix="0" xfId="0">
      <alignment horizontal="left" vertical="center"/>
    </xf>
    <xf numFmtId="3" fontId="14" fillId="16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/>
    </xf>
    <xf numFmtId="3" fontId="14" fillId="3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general" vertical="bottom"/>
    </xf>
    <xf numFmtId="9" fontId="14" fillId="9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166" fontId="14" fillId="7" borderId="1" applyAlignment="1" pivotButton="0" quotePrefix="0" xfId="0">
      <alignment horizontal="left" vertical="center"/>
    </xf>
    <xf numFmtId="168" fontId="14" fillId="9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167" fontId="6" fillId="10" borderId="1" applyAlignment="1" pivotButton="0" quotePrefix="0" xfId="0">
      <alignment horizontal="left" vertical="center"/>
    </xf>
    <xf numFmtId="0" fontId="20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left" vertical="center" wrapText="1"/>
    </xf>
    <xf numFmtId="0" fontId="21" fillId="16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general" vertical="bottom"/>
    </xf>
    <xf numFmtId="169" fontId="0" fillId="0" borderId="1" applyAlignment="1" pivotButton="0" quotePrefix="0" xfId="0">
      <alignment horizontal="center" vertical="center"/>
    </xf>
    <xf numFmtId="3" fontId="14" fillId="11" borderId="1" applyAlignment="1" pivotButton="0" quotePrefix="0" xfId="0">
      <alignment horizontal="right" vertical="center"/>
    </xf>
    <xf numFmtId="168" fontId="14" fillId="15" borderId="1" applyAlignment="1" pivotButton="0" quotePrefix="0" xfId="0">
      <alignment horizontal="right" vertical="center"/>
    </xf>
    <xf numFmtId="0" fontId="15" fillId="11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26" fillId="17" borderId="1" applyAlignment="1" pivotButton="0" quotePrefix="0" xfId="0">
      <alignment horizontal="center" vertical="center" wrapText="1"/>
    </xf>
    <xf numFmtId="0" fontId="27" fillId="16" borderId="0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center" vertical="center"/>
    </xf>
    <xf numFmtId="0" fontId="29" fillId="17" borderId="1" applyAlignment="1" pivotButton="0" quotePrefix="0" xfId="0">
      <alignment horizontal="left" vertical="center"/>
    </xf>
    <xf numFmtId="3" fontId="29" fillId="17" borderId="1" applyAlignment="1" pivotButton="0" quotePrefix="0" xfId="0">
      <alignment horizontal="right" vertical="center"/>
    </xf>
    <xf numFmtId="0" fontId="30" fillId="16" borderId="0" applyAlignment="1" pivotButton="0" quotePrefix="0" xfId="0">
      <alignment horizontal="left" vertical="center"/>
    </xf>
    <xf numFmtId="167" fontId="31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13" fillId="1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/>
    </xf>
    <xf numFmtId="3" fontId="14" fillId="7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3" fontId="14" fillId="8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3" fontId="14" fillId="9" borderId="1" applyAlignment="1" pivotButton="0" quotePrefix="0" xfId="0">
      <alignment horizontal="right" vertical="center"/>
    </xf>
    <xf numFmtId="166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3" fontId="6" fillId="10" borderId="1" applyAlignment="1" pivotButton="0" quotePrefix="0" xfId="0">
      <alignment horizontal="left" vertical="center"/>
    </xf>
    <xf numFmtId="0" fontId="15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3" fontId="6" fillId="11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3" fontId="10" fillId="11" borderId="1" applyAlignment="1" pivotButton="0" quotePrefix="0" xfId="0">
      <alignment horizontal="general" vertical="bottom"/>
    </xf>
    <xf numFmtId="0" fontId="18" fillId="12" borderId="0" applyAlignment="1" pivotButton="0" quotePrefix="0" xfId="0">
      <alignment horizontal="left" vertical="center" wrapText="1"/>
    </xf>
    <xf numFmtId="167" fontId="14" fillId="9" borderId="1" applyAlignment="1" pivotButton="0" quotePrefix="0" xfId="0">
      <alignment horizontal="right" vertical="center"/>
    </xf>
    <xf numFmtId="3" fontId="14" fillId="13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general" vertical="bottom"/>
    </xf>
    <xf numFmtId="3" fontId="19" fillId="14" borderId="1" applyAlignment="1" pivotButton="0" quotePrefix="0" xfId="0">
      <alignment horizontal="right" vertical="center"/>
    </xf>
    <xf numFmtId="167" fontId="19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 wrapText="1"/>
    </xf>
    <xf numFmtId="0" fontId="14" fillId="7" borderId="1" applyAlignment="1" pivotButton="0" quotePrefix="0" xfId="0">
      <alignment horizontal="left" vertical="center" wrapText="1"/>
    </xf>
    <xf numFmtId="167" fontId="14" fillId="9" borderId="0" applyAlignment="1" pivotButton="0" quotePrefix="0" xfId="0">
      <alignment horizontal="right" vertical="center"/>
    </xf>
    <xf numFmtId="3" fontId="6" fillId="15" borderId="1" applyAlignment="1" pivotButton="0" quotePrefix="0" xfId="0">
      <alignment horizontal="left" vertical="center"/>
    </xf>
    <xf numFmtId="3" fontId="0" fillId="0" borderId="0" applyAlignment="1" pivotButton="0" quotePrefix="0" xfId="0">
      <alignment horizontal="general" vertical="bottom"/>
    </xf>
    <xf numFmtId="0" fontId="20" fillId="12" borderId="0" applyAlignment="1" pivotButton="0" quotePrefix="0" xfId="0">
      <alignment horizontal="left" vertical="center"/>
    </xf>
    <xf numFmtId="3" fontId="14" fillId="16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/>
    </xf>
    <xf numFmtId="3" fontId="14" fillId="3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general" vertical="bottom"/>
    </xf>
    <xf numFmtId="9" fontId="14" fillId="9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166" fontId="14" fillId="7" borderId="1" applyAlignment="1" pivotButton="0" quotePrefix="0" xfId="0">
      <alignment horizontal="left" vertical="center"/>
    </xf>
    <xf numFmtId="168" fontId="14" fillId="9" borderId="1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167" fontId="6" fillId="10" borderId="1" applyAlignment="1" pivotButton="0" quotePrefix="0" xfId="0">
      <alignment horizontal="left" vertical="center"/>
    </xf>
    <xf numFmtId="0" fontId="20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left" vertical="center" wrapText="1"/>
    </xf>
    <xf numFmtId="0" fontId="21" fillId="16" borderId="0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3" fontId="14" fillId="11" borderId="1" applyAlignment="1" pivotButton="0" quotePrefix="0" xfId="0">
      <alignment horizontal="right" vertical="center"/>
    </xf>
    <xf numFmtId="168" fontId="14" fillId="15" borderId="1" applyAlignment="1" pivotButton="0" quotePrefix="0" xfId="0">
      <alignment horizontal="right" vertical="center"/>
    </xf>
    <xf numFmtId="0" fontId="15" fillId="11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26" fillId="17" borderId="1" applyAlignment="1" pivotButton="0" quotePrefix="0" xfId="0">
      <alignment horizontal="center" vertical="center" wrapText="1"/>
    </xf>
    <xf numFmtId="0" fontId="27" fillId="16" borderId="0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left" vertical="center" wrapText="1"/>
    </xf>
    <xf numFmtId="0" fontId="28" fillId="0" borderId="1" applyAlignment="1" pivotButton="0" quotePrefix="0" xfId="0">
      <alignment horizontal="center" vertical="center"/>
    </xf>
    <xf numFmtId="0" fontId="29" fillId="17" borderId="1" applyAlignment="1" pivotButton="0" quotePrefix="0" xfId="0">
      <alignment horizontal="left" vertical="center"/>
    </xf>
    <xf numFmtId="3" fontId="29" fillId="17" borderId="1" applyAlignment="1" pivotButton="0" quotePrefix="0" xfId="0">
      <alignment horizontal="right" vertical="center"/>
    </xf>
    <xf numFmtId="0" fontId="30" fillId="16" borderId="0" applyAlignment="1" pivotButton="0" quotePrefix="0" xfId="0">
      <alignment horizontal="left" vertical="center"/>
    </xf>
    <xf numFmtId="167" fontId="31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13" fillId="1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DCE4"/>
      <rgbColor rgb="FF9966CC"/>
      <rgbColor rgb="FF5B9BD5"/>
      <rgbColor rgb="FF993366"/>
      <rgbColor rgb="FFFFF2CC"/>
      <rgbColor rgb="FFE7E6E6"/>
      <rgbColor rgb="FF660066"/>
      <rgbColor rgb="FFFF6B6B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D5F0"/>
      <rgbColor rgb="FFC6EFCE"/>
      <rgbColor rgb="FFFFE699"/>
      <rgbColor rgb="FF99CCFF"/>
      <rgbColor rgb="FFFF99CC"/>
      <rgbColor rgb="FF7B68EE"/>
      <rgbColor rgb="FFFFB3B3"/>
      <rgbColor rgb="FF4472C4"/>
      <rgbColor rgb="FF33CCCC"/>
      <rgbColor rgb="FF92D050"/>
      <rgbColor rgb="FFFFC000"/>
      <rgbColor rgb="FFFFA500"/>
      <rgbColor rgb="FFFF8C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5C52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B32" authorId="0" shapeId="0">
      <text>
        <t>Uses liquid assets only (cash + ETFs + gold + USD, rows 5-15). Excludes real estate which takes 90-180 days to liquidate. This is what you can actually deploy for growth investing.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5" authorId="0" shapeId="0">
      <text>
        <t>Survival floor from Tab 2 (18.49M, not full burn 45.9M). Emergency exit = bare minimum to survive, not maintain lifestyle.</t>
      </text>
    </comment>
    <comment ref="B7" authorId="0" shapeId="0">
      <text>
        <t>Based on current rent 9M VND/month. Covers deposit + first + last for new rental.</t>
      </text>
    </comment>
    <comment ref="B8" authorId="0" shapeId="0">
      <text>
        <t>Budget: ~100K VND/night decent hotel HCMC × 30 days = 3M. Enough to find new rental.</t>
      </text>
    </comment>
    <comment ref="B10" authorId="0" shapeId="0">
      <text>
        <t>Estimate ~5M VND/month for Dr. Sarah Chen sessions. Adjust to actual cost. This is NON-NEGOTIABLE — sovereignty hypothesis testing, relationship repair, mẹ 5-why analysis all require this.</t>
      </text>
    </comment>
    <comment ref="B11" authorId="0" shapeId="0">
      <text>
        <t>One-time reserve for unexpected health issues. You have insurance (493K/mo) but this covers gaps, deductibles, or uncovered treatments.</t>
      </text>
    </comment>
    <comment ref="B13" authorId="0" shapeId="0">
      <text>
        <t>Moving costs + setup in new city within Vietnam. Covers movers, deposits, basic furnishing.</t>
      </text>
    </comment>
    <comment ref="B14" authorId="0" shapeId="0">
      <text>
        <t>Flight (~10M) + 3 months basic survival in cheap country. Extreme scenario: need to leave VN. Nordic PhD transition would use separate planning.</t>
      </text>
    </comment>
    <comment ref="B16" authorId="0" shapeId="0">
      <text>
        <t>Survival floor (18.49M) × 24 months. Full 2-year conservative cushion. Even though rental income (7.6M/mo) and unemployment insurance (24.8M from May) offset expenses, this fund assumes ZERO other income as worst case. Sovereignty means the math works even if everything else fails.</t>
      </text>
    </comment>
    <comment ref="D21" authorId="0" shapeId="0">
      <text>
        <t>Liquid assets only: cash savings, emergency reserve, ETF holdings, gold, USD. Excludes real estate (180+ days to liquidate). This is what you can actually access within 30 days.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the1ight.substack.com/p/nhung-ieu-khong-ai-muon-noi-cho-ban?utm_source=publication-search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ocs.google.com/document/d/1XkIfW3bgPHWbm3rOTrqraokAIZUV655DYOs1h-MLnBQ/edit?tab=t.0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" customWidth="1" style="100" min="1" max="1"/>
    <col width="30" customWidth="1" style="100" min="2" max="3"/>
    <col width="8.710000000000001" customWidth="1" style="100" min="4" max="26"/>
  </cols>
  <sheetData>
    <row r="1" ht="30" customHeight="1" s="101">
      <c r="A1" s="102" t="inlineStr">
        <is>
          <t>📋 WORKBOOK UPDATES - READ THIS FIRST</t>
        </is>
      </c>
    </row>
    <row r="3" ht="15" customHeight="1" s="101">
      <c r="A3" s="103" t="inlineStr">
        <is>
          <t>🔄 CHANGES APPLIED:</t>
        </is>
      </c>
    </row>
    <row r="4" ht="27.75" customHeight="1" s="101">
      <c r="A4" s="104" t="inlineStr">
        <is>
          <t>1. Job Quit Bonus</t>
        </is>
      </c>
      <c r="B4" s="105" t="inlineStr">
        <is>
          <t>Marked as RECEIVED in TAB 1</t>
        </is>
      </c>
      <c r="C4" s="106" t="inlineStr">
        <is>
          <t>Include amount in TAB 3 liquid cash</t>
        </is>
      </c>
    </row>
    <row r="5" ht="27.75" customHeight="1" s="101">
      <c r="A5" s="104" t="inlineStr">
        <is>
          <t>2. Mother's Medical Reserve</t>
        </is>
      </c>
      <c r="B5" s="105" t="inlineStr">
        <is>
          <t>REMOVED from TAB 3 (set to 0)</t>
        </is>
      </c>
      <c r="C5" s="106" t="inlineStr">
        <is>
          <t>150M VND freed up for investment</t>
        </is>
      </c>
    </row>
    <row r="6" ht="15" customHeight="1" s="101">
      <c r="A6" s="104" t="inlineStr">
        <is>
          <t>3. Untouchable Reserves</t>
        </is>
      </c>
      <c r="B6" s="105" t="inlineStr">
        <is>
          <t>Now 249M (Emergency only)</t>
        </is>
      </c>
      <c r="C6" s="106" t="inlineStr">
        <is>
          <t>Was 399M (Emergency + Medical)</t>
        </is>
      </c>
    </row>
    <row r="7" ht="15" customHeight="1" s="101">
      <c r="A7" s="104" t="inlineStr">
        <is>
          <t>4. Available for Investment</t>
        </is>
      </c>
      <c r="B7" s="105" t="inlineStr">
        <is>
          <t>Increased by 150M</t>
        </is>
      </c>
      <c r="C7" s="106" t="inlineStr">
        <is>
          <t>AUTO-CALCULATED in TAB 6</t>
        </is>
      </c>
    </row>
    <row r="8" ht="15" customHeight="1" s="101">
      <c r="A8" s="104" t="inlineStr">
        <is>
          <t>5. All formulas</t>
        </is>
      </c>
      <c r="B8" s="105" t="inlineStr">
        <is>
          <t>AUTO-UPDATED across TAB 6-8</t>
        </is>
      </c>
      <c r="C8" s="106" t="inlineStr">
        <is>
          <t>No manual edits needed</t>
        </is>
      </c>
    </row>
    <row r="11" ht="15" customHeight="1" s="101">
      <c r="A11" s="107" t="inlineStr">
        <is>
          <t>💰 NET IMPACT:</t>
        </is>
      </c>
    </row>
    <row r="12" ht="15" customHeight="1" s="101">
      <c r="A12" s="100" t="inlineStr">
        <is>
          <t>Untouchable Reserves:</t>
        </is>
      </c>
      <c r="B12" s="108" t="inlineStr">
        <is>
          <t>399M → 249M</t>
        </is>
      </c>
      <c r="C12" s="100" t="inlineStr">
        <is>
          <t>(-150M)</t>
        </is>
      </c>
    </row>
    <row r="13" ht="15" customHeight="1" s="101">
      <c r="A13" s="100" t="inlineStr">
        <is>
          <t>Available for Investment:</t>
        </is>
      </c>
      <c r="B13" s="109" t="inlineStr">
        <is>
          <t>970M → 1,120M</t>
        </is>
      </c>
      <c r="C13" s="109" t="inlineStr">
        <is>
          <t>(+150M)</t>
        </is>
      </c>
    </row>
    <row r="14" ht="15" customHeight="1" s="101">
      <c r="A14" s="100" t="inlineStr">
        <is>
          <t>Safe Stock Allocation (50%):</t>
        </is>
      </c>
      <c r="B14" s="109" t="inlineStr">
        <is>
          <t>485M → 560M</t>
        </is>
      </c>
      <c r="C14" s="109" t="inlineStr">
        <is>
          <t>(+75M)</t>
        </is>
      </c>
    </row>
    <row r="17" ht="15" customHeight="1" s="101">
      <c r="A17" s="110" t="inlineStr">
        <is>
          <t>✅ ACTION ITEMS FOR YOU:</t>
        </is>
      </c>
    </row>
    <row r="18" ht="15" customHeight="1" s="101">
      <c r="A18" s="105" t="inlineStr">
        <is>
          <t>1. TAB 3: Add Job Quit Bonus amount to 'Cash - VND Savings' or 'Cash - USD Savings'</t>
        </is>
      </c>
      <c r="B18" s="111" t="n"/>
      <c r="C18" s="112" t="n"/>
    </row>
    <row r="19" ht="15" customHeight="1" s="101">
      <c r="A19" s="105" t="inlineStr">
        <is>
          <t>2. TAB 1: Fill in exact Job Quit Bonus amount (for record-keeping)</t>
        </is>
      </c>
      <c r="B19" s="111" t="n"/>
      <c r="C19" s="112" t="n"/>
    </row>
    <row r="20" ht="15" customHeight="1" s="101">
      <c r="A20" s="105" t="inlineStr">
        <is>
          <t>3. TAB 5: Fill in Career Timeline estimates (CRITICAL)</t>
        </is>
      </c>
      <c r="B20" s="111" t="n"/>
      <c r="C20" s="112" t="n"/>
    </row>
    <row r="21" ht="15.75" customHeight="1" s="101">
      <c r="A21" s="105" t="inlineStr">
        <is>
          <t>4. Review TAB 6: New allocation shows 560M safe stock allocation (up from 485M)</t>
        </is>
      </c>
      <c r="B21" s="111" t="n"/>
      <c r="C21" s="112" t="n"/>
    </row>
    <row r="22" ht="15.75" customHeight="1" s="101">
      <c r="A22" s="105" t="inlineStr">
        <is>
          <t>5. Review TAB 8: Scenarios updated with new available capital</t>
        </is>
      </c>
      <c r="B22" s="111" t="n"/>
      <c r="C22" s="112" t="n"/>
    </row>
    <row r="23" ht="15.75" customHeight="1" s="101"/>
    <row r="24" ht="15.75" customHeight="1" s="101">
      <c r="A24" s="113" t="inlineStr">
        <is>
          <t>3. NEW: Minimum Viable Freedom (MVF)</t>
        </is>
      </c>
      <c r="B24" s="114" t="inlineStr">
        <is>
          <t>Added TAB 9: MVF Calculator</t>
        </is>
      </c>
      <c r="C24" s="115" t="inlineStr">
        <is>
          <t>Define your safety net BEFORE investing</t>
        </is>
      </c>
    </row>
    <row r="25" ht="15.75" customHeight="1" s="101">
      <c r="A25" s="105" t="inlineStr">
        <is>
          <t>6. TAB 9: Fill in MVF components (YOUR safety net)</t>
        </is>
      </c>
      <c r="B25" s="111" t="n"/>
      <c r="C25" s="112" t="n"/>
    </row>
    <row r="26" ht="15.75" customHeight="1" s="101"/>
    <row r="27" ht="15.75" customHeight="1" s="101">
      <c r="A27" t="inlineStr">
        <is>
          <t>6. Unemployment Insurance (TCTN)</t>
        </is>
      </c>
      <c r="B27" t="inlineStr">
        <is>
          <t>Status changed PENDING → ACTIVE in TAB 1</t>
        </is>
      </c>
      <c r="C27" t="inlineStr">
        <is>
          <t>7 monthly payouts May–Nov 2026, reporting schedule added</t>
        </is>
      </c>
    </row>
    <row r="28" ht="15.75" customHeight="1" s="101">
      <c r="A28" t="inlineStr">
        <is>
          <t xml:space="preserve">   Next reporting window:</t>
        </is>
      </c>
      <c r="B28" t="inlineStr">
        <is>
          <t>15–17 June 2026</t>
        </is>
      </c>
      <c r="C28" t="inlineStr">
        <is>
          <t>Bring CCCD. Miss = lose 24.8M that month.</t>
        </is>
      </c>
    </row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9">
    <mergeCell ref="A1:D1"/>
    <mergeCell ref="A25:C25"/>
    <mergeCell ref="A19:C19"/>
    <mergeCell ref="A11:C11"/>
    <mergeCell ref="A22:C22"/>
    <mergeCell ref="A17:C17"/>
    <mergeCell ref="A18:C18"/>
    <mergeCell ref="A21:C21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51" customWidth="1" style="100" min="1" max="1"/>
    <col width="20" customWidth="1" style="100" min="2" max="2"/>
    <col width="14" customWidth="1" style="100" min="3" max="3"/>
    <col width="13" customWidth="1" style="100" min="4" max="5"/>
    <col width="35" customWidth="1" style="100" min="6" max="6"/>
    <col width="12" customWidth="1" style="100" min="7" max="7"/>
    <col width="8.710000000000001" customWidth="1" style="100" min="8" max="26"/>
  </cols>
  <sheetData>
    <row r="1" ht="30" customHeight="1" s="101">
      <c r="A1" s="116" t="inlineStr">
        <is>
          <t>INCOME SOURCES - Current &amp; Future (Already Unemployed)</t>
        </is>
      </c>
      <c r="B1" s="111" t="n"/>
      <c r="C1" s="111" t="n"/>
      <c r="D1" s="111" t="n"/>
      <c r="E1" s="111" t="n"/>
      <c r="F1" s="111" t="n"/>
      <c r="G1" s="112" t="n"/>
    </row>
    <row r="2" ht="30" customHeight="1" s="101">
      <c r="A2" s="117" t="inlineStr">
        <is>
          <t>⚠️ CRITICAL: Fill in EXACT amounts. Job income has STOPPED. Future job NOT secured yet.</t>
        </is>
      </c>
    </row>
    <row r="3" ht="24.75" customHeight="1" s="101">
      <c r="A3" s="118" t="inlineStr">
        <is>
          <t>Income Source</t>
        </is>
      </c>
      <c r="B3" s="118" t="inlineStr">
        <is>
          <t>Monthly Amount (VND)</t>
        </is>
      </c>
      <c r="C3" s="118" t="inlineStr">
        <is>
          <t>Stability (1-5)</t>
        </is>
      </c>
      <c r="D3" s="118" t="inlineStr">
        <is>
          <t>Start Date</t>
        </is>
      </c>
      <c r="E3" s="118" t="inlineStr">
        <is>
          <t>End Date</t>
        </is>
      </c>
      <c r="F3" s="118" t="inlineStr">
        <is>
          <t>Notes</t>
        </is>
      </c>
      <c r="G3" s="118" t="inlineStr">
        <is>
          <t>Status</t>
        </is>
      </c>
    </row>
    <row r="4" ht="15" customHeight="1" s="101">
      <c r="A4" s="119" t="inlineStr">
        <is>
          <t>PAST INCOME (Already Ended)</t>
        </is>
      </c>
      <c r="B4" s="111" t="n"/>
      <c r="C4" s="111" t="n"/>
      <c r="D4" s="111" t="n"/>
      <c r="E4" s="111" t="n"/>
      <c r="F4" s="111" t="n"/>
      <c r="G4" s="112" t="n"/>
    </row>
    <row r="5" ht="15" customHeight="1" s="101">
      <c r="A5" s="100" t="inlineStr">
        <is>
          <t>Previous 9-to-5 Job</t>
        </is>
      </c>
      <c r="B5" s="120" t="n">
        <v>0</v>
      </c>
      <c r="C5" s="120" t="n">
        <v>5</v>
      </c>
      <c r="D5" s="121" t="n"/>
      <c r="E5" s="122" t="n">
        <v>46023</v>
      </c>
      <c r="F5" s="121" t="inlineStr">
        <is>
          <t>Income STOPPED - fill in last monthly amount</t>
        </is>
      </c>
      <c r="G5" s="123" t="inlineStr">
        <is>
          <t>ENDED</t>
        </is>
      </c>
    </row>
    <row r="6" ht="15" customHeight="1" s="101">
      <c r="A6" s="119" t="inlineStr">
        <is>
          <t>CURRENT RECURRING INCOME</t>
        </is>
      </c>
      <c r="B6" s="111" t="n"/>
      <c r="C6" s="111" t="n"/>
      <c r="D6" s="111" t="n"/>
      <c r="E6" s="111" t="n"/>
      <c r="F6" s="111" t="n"/>
      <c r="G6" s="112" t="n"/>
    </row>
    <row r="7" ht="15" customHeight="1" s="101">
      <c r="A7" s="100" t="inlineStr">
        <is>
          <t>House Rental Income (NET)</t>
        </is>
      </c>
      <c r="B7" s="124" t="n">
        <v>7600000</v>
      </c>
      <c r="C7" s="120" t="n">
        <v>4</v>
      </c>
      <c r="D7" s="121" t="n"/>
      <c r="E7" s="121" t="inlineStr">
        <is>
          <t>Ongoing</t>
        </is>
      </c>
      <c r="F7" s="121" t="inlineStr">
        <is>
          <t>CRITICAL: After tax, maintenance, fees</t>
        </is>
      </c>
      <c r="G7" s="125" t="inlineStr">
        <is>
          <t>ACTIVE</t>
        </is>
      </c>
    </row>
    <row r="8" ht="15" customHeight="1" s="101">
      <c r="A8" s="100" t="inlineStr">
        <is>
          <t>Other Passive Income</t>
        </is>
      </c>
      <c r="B8" s="120" t="n">
        <v>0</v>
      </c>
      <c r="C8" s="120" t="n"/>
      <c r="D8" s="121" t="n"/>
      <c r="E8" s="121" t="n"/>
      <c r="F8" s="121" t="inlineStr">
        <is>
          <t>ETF dividends, etc.</t>
        </is>
      </c>
      <c r="G8" s="125" t="inlineStr">
        <is>
          <t>ACTIVE</t>
        </is>
      </c>
    </row>
    <row r="9" ht="15" customHeight="1" s="101">
      <c r="A9" s="100" t="inlineStr">
        <is>
          <t>Unemployment Insurance</t>
        </is>
      </c>
      <c r="B9" s="120" t="n">
        <v>24800000</v>
      </c>
      <c r="C9" s="120" t="n">
        <v>5</v>
      </c>
      <c r="D9" s="126" t="inlineStr">
        <is>
          <t>2026-05-11</t>
        </is>
      </c>
      <c r="E9" s="121" t="inlineStr">
        <is>
          <t>2026-11-30</t>
        </is>
      </c>
      <c r="F9" s="127" t="inlineStr">
        <is>
          <t>ACTIVE ✅ — 7 monthly payouts (May–Nov 2026), ~24.8M/mo
Total expected: ~173.6M VND
Monthly reporting schedule (must report in person with CCCD):
  1. 19–21/05 ✅ DONE
  2. 15–17/06
  3. 14–16/07
  4. 14–18/08
  5. 14–16/09
  6. 14–16/10
  7. 16–18/11
⚠️ Miss window = lose that month + no period preservation
⚠️ If accepting job (≥1mo contract): notify within 3 days via form #17 to preserve remaining BHTN months</t>
        </is>
      </c>
      <c r="G9" s="128" t="inlineStr">
        <is>
          <t>ACTIVE ✅</t>
        </is>
      </c>
    </row>
    <row r="10" ht="15" customHeight="1" s="101">
      <c r="A10" s="119" t="inlineStr">
        <is>
          <t>ONE-TIME INCOME (Receivables)</t>
        </is>
      </c>
      <c r="B10" s="111" t="n"/>
      <c r="C10" s="111" t="n"/>
      <c r="D10" s="111" t="n"/>
      <c r="E10" s="111" t="n"/>
      <c r="F10" s="111" t="n"/>
      <c r="G10" s="112" t="n"/>
    </row>
    <row r="11" ht="15" customHeight="1" s="101">
      <c r="A11" s="100" t="inlineStr">
        <is>
          <t>Job Quit Bonus (RECEIVED)</t>
        </is>
      </c>
      <c r="B11" s="124" t="n">
        <v>0</v>
      </c>
      <c r="C11" s="120" t="n">
        <v>5</v>
      </c>
      <c r="D11" s="122" t="n">
        <v>46023</v>
      </c>
      <c r="E11" s="121" t="inlineStr">
        <is>
          <t>One-time</t>
        </is>
      </c>
      <c r="F11" s="121" t="inlineStr">
        <is>
          <t>RECEIVED - Now part of liquid cash in TAB 3</t>
        </is>
      </c>
      <c r="G11" s="125" t="inlineStr">
        <is>
          <t>RECEIVED ✅</t>
        </is>
      </c>
    </row>
    <row r="12" ht="15" customHeight="1" s="101">
      <c r="A12" s="119" t="inlineStr">
        <is>
          <t>FUTURE INCOME (NOT SECURED - Estimates from TAB 5)</t>
        </is>
      </c>
      <c r="B12" s="111" t="n"/>
      <c r="C12" s="111" t="n"/>
      <c r="D12" s="111" t="n"/>
      <c r="E12" s="111" t="n"/>
      <c r="F12" s="111" t="n"/>
      <c r="G12" s="112" t="n"/>
    </row>
    <row r="13" ht="15" customHeight="1" s="101">
      <c r="A13" s="100" t="inlineStr">
        <is>
          <t>New Full-Time Job</t>
        </is>
      </c>
      <c r="B13" s="129">
        <f>5_Career!D8</f>
        <v/>
      </c>
      <c r="C13" s="120" t="inlineStr">
        <is>
          <t>TBD</t>
        </is>
      </c>
      <c r="D13" s="130">
        <f>5_Career!C8</f>
        <v/>
      </c>
      <c r="E13" s="121" t="inlineStr">
        <is>
          <t>Ongoing</t>
        </is>
      </c>
      <c r="F13" s="121" t="inlineStr">
        <is>
          <t>FROM TAB 5 - Auto-populated</t>
        </is>
      </c>
      <c r="G13" s="123" t="inlineStr">
        <is>
          <t>NOT YET</t>
        </is>
      </c>
    </row>
    <row r="14" ht="15" customHeight="1" s="101">
      <c r="A14" s="100" t="inlineStr">
        <is>
          <t>Part-Time Income (if Track 2)</t>
        </is>
      </c>
      <c r="B14" s="129">
        <f>5_Career!D15</f>
        <v/>
      </c>
      <c r="C14" s="120" t="inlineStr">
        <is>
          <t>TBD</t>
        </is>
      </c>
      <c r="D14" s="131">
        <f>5_Career!C15</f>
        <v/>
      </c>
      <c r="E14" s="130">
        <f>5_Career!E15</f>
        <v/>
      </c>
      <c r="F14" s="121" t="inlineStr">
        <is>
          <t>FROM TAB 5 - Auto-populated</t>
        </is>
      </c>
      <c r="G14" s="123" t="inlineStr">
        <is>
          <t>NOT YET</t>
        </is>
      </c>
    </row>
    <row r="16" ht="15" customHeight="1" s="101">
      <c r="A16" s="132" t="inlineStr">
        <is>
          <t>TOTAL CURRENT MONTHLY INCOME (Recurring Only)</t>
        </is>
      </c>
      <c r="B16" s="133">
        <f>B7+B8+B9</f>
        <v/>
      </c>
      <c r="C16" s="100" t="n"/>
    </row>
    <row r="17" ht="15" customHeight="1" s="101">
      <c r="A17" s="132" t="inlineStr">
        <is>
          <t>TOTAL ONE-TIME INCOME (Lump Sum)</t>
        </is>
      </c>
      <c r="B17" s="133">
        <f>B11</f>
        <v/>
      </c>
      <c r="C17" s="100" t="n"/>
    </row>
    <row r="19" ht="15" customHeight="1" s="101">
      <c r="A19" s="134" t="inlineStr">
        <is>
          <t>🚨 KEY INSIGHT: INCOME STATUS</t>
        </is>
      </c>
    </row>
    <row r="20" ht="15" customHeight="1" s="101">
      <c r="A20" s="100" t="inlineStr">
        <is>
          <t>Current Monthly Income:</t>
        </is>
      </c>
      <c r="B20" s="129">
        <f>B16</f>
        <v/>
      </c>
      <c r="C20" s="100" t="inlineStr">
        <is>
          <t>VND/month</t>
        </is>
      </c>
      <c r="D20" s="135" t="inlineStr">
        <is>
          <t>← Your ONLY recurring income right now</t>
        </is>
      </c>
    </row>
    <row r="21" ht="15.75" customHeight="1" s="101">
      <c r="A21" s="100" t="inlineStr">
        <is>
          <t>Future Job Income Secured?</t>
        </is>
      </c>
      <c r="B21" s="136" t="inlineStr">
        <is>
          <t>NO</t>
        </is>
      </c>
      <c r="C21" s="137" t="inlineStr">
        <is>
          <t>← Fill TAB 5 to estimate when income resumes</t>
        </is>
      </c>
    </row>
    <row r="22" ht="15.75" customHeight="1" s="101"/>
    <row r="23" ht="15.75" customHeight="1" s="101"/>
    <row r="24" ht="15.75" customHeight="1" s="101"/>
    <row r="25" ht="15.75" customHeight="1" s="101"/>
    <row r="26" ht="15.75" customHeight="1" s="101"/>
    <row r="27" ht="15.75" customHeight="1" s="101"/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11">
    <mergeCell ref="C21:G21"/>
    <mergeCell ref="A1:G1"/>
    <mergeCell ref="C16:G16"/>
    <mergeCell ref="A6:G6"/>
    <mergeCell ref="D20:G20"/>
    <mergeCell ref="A12:G12"/>
    <mergeCell ref="A4:G4"/>
    <mergeCell ref="A2:G2"/>
    <mergeCell ref="A19:G19"/>
    <mergeCell ref="A10:G10"/>
    <mergeCell ref="C17:G17"/>
  </mergeCells>
  <hyperlinks>
    <hyperlink xmlns:r="http://schemas.openxmlformats.org/officeDocument/2006/relationships" ref="F9" display="Vietnam gov't benefit, if eligible&#10;The process: https://the1ight.substack.com/p/nhung-ieu-khong-ai-muon-noi-cho-ban?utm_source=publication-search " r:id="rId1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2" customWidth="1" style="100" min="1" max="1"/>
    <col width="20" customWidth="1" style="100" min="2" max="2"/>
    <col width="12" customWidth="1" style="100" min="3" max="3"/>
    <col width="18" customWidth="1" style="100" min="4" max="4"/>
    <col width="15" customWidth="1" style="100" min="5" max="5"/>
    <col width="35" customWidth="1" style="100" min="6" max="6"/>
    <col width="8.710000000000001" customWidth="1" style="100" min="7" max="26"/>
  </cols>
  <sheetData>
    <row r="1" ht="30" customHeight="1" s="101">
      <c r="A1" s="116" t="inlineStr">
        <is>
          <t>MONTHLY EXPENSES - Cut Analysis (Unemployed)</t>
        </is>
      </c>
      <c r="B1" s="111" t="n"/>
      <c r="C1" s="111" t="n"/>
      <c r="D1" s="111" t="n"/>
      <c r="E1" s="111" t="n"/>
      <c r="F1" s="112" t="n"/>
    </row>
    <row r="2" ht="30" customHeight="1" s="101">
      <c r="A2" s="117" t="inlineStr">
        <is>
          <t>⚠️ BE BRUTAL: What can you CUT during unemployment? Survival Budget = Absolute minimum to function.</t>
        </is>
      </c>
    </row>
    <row r="3" ht="24.75" customHeight="1" s="101">
      <c r="A3" s="118" t="inlineStr">
        <is>
          <t>Expense Category</t>
        </is>
      </c>
      <c r="B3" s="118" t="inlineStr">
        <is>
          <t>Current Monthly (VND)</t>
        </is>
      </c>
      <c r="C3" s="118" t="inlineStr">
        <is>
          <t>Can Cut?</t>
        </is>
      </c>
      <c r="D3" s="118" t="inlineStr">
        <is>
          <t>Cut To (VND)</t>
        </is>
      </c>
      <c r="E3" s="118" t="inlineStr">
        <is>
          <t>Priority (1-5)</t>
        </is>
      </c>
      <c r="F3" s="118" t="inlineStr">
        <is>
          <t>Notes</t>
        </is>
      </c>
    </row>
    <row r="4" ht="15" customHeight="1" s="101">
      <c r="A4" s="119" t="inlineStr">
        <is>
          <t>FIXED EXPENSES (Hard to Change)</t>
        </is>
      </c>
      <c r="B4" s="111" t="n"/>
      <c r="C4" s="111" t="n"/>
      <c r="D4" s="111" t="n"/>
      <c r="E4" s="111" t="n"/>
      <c r="F4" s="112" t="n"/>
    </row>
    <row r="5" ht="15" customHeight="1" s="101">
      <c r="A5" s="114" t="inlineStr">
        <is>
          <t>Rent / Housing</t>
        </is>
      </c>
      <c r="B5" s="120" t="n">
        <v>9000000</v>
      </c>
      <c r="C5" s="121" t="inlineStr">
        <is>
          <t>N</t>
        </is>
      </c>
      <c r="D5" s="120" t="n">
        <v>0</v>
      </c>
      <c r="E5" s="120" t="n">
        <v>5</v>
      </c>
      <c r="F5" s="121" t="inlineStr">
        <is>
          <t>Cannot change short-term</t>
        </is>
      </c>
    </row>
    <row r="6" ht="15" customHeight="1" s="101">
      <c r="A6" s="114" t="inlineStr">
        <is>
          <t>Utilities (Apartment mgt., Water, Internet)</t>
        </is>
      </c>
      <c r="B6" s="120" t="n">
        <v>450000</v>
      </c>
      <c r="C6" s="121" t="inlineStr">
        <is>
          <t>Partial</t>
        </is>
      </c>
      <c r="D6" s="120" t="n">
        <v>0</v>
      </c>
      <c r="E6" s="120" t="n">
        <v>4</v>
      </c>
      <c r="F6" s="121" t="inlineStr">
        <is>
          <t>Can reduce usage</t>
        </is>
      </c>
    </row>
    <row r="7" ht="15" customHeight="1" s="101">
      <c r="A7" s="114" t="inlineStr">
        <is>
          <t>Utilities (Electric)</t>
        </is>
      </c>
      <c r="B7" s="120" t="n">
        <v>350000</v>
      </c>
      <c r="C7" s="121" t="inlineStr">
        <is>
          <t>Partial</t>
        </is>
      </c>
      <c r="D7" s="120" t="n">
        <v>0</v>
      </c>
      <c r="E7" s="120" t="n">
        <v>4</v>
      </c>
      <c r="F7" s="121" t="inlineStr">
        <is>
          <t>Can reduce usage</t>
        </is>
      </c>
    </row>
    <row r="8" ht="15" customHeight="1" s="101">
      <c r="A8" s="114" t="inlineStr">
        <is>
          <t>Insurance (Health, Life)</t>
        </is>
      </c>
      <c r="B8" s="120">
        <f>5921000/12</f>
        <v/>
      </c>
      <c r="C8" s="121" t="inlineStr">
        <is>
          <t>N</t>
        </is>
      </c>
      <c r="D8" s="120" t="n">
        <v>0</v>
      </c>
      <c r="E8" s="120" t="n">
        <v>5</v>
      </c>
      <c r="F8" s="121" t="inlineStr">
        <is>
          <t>Keep essential coverage</t>
        </is>
      </c>
    </row>
    <row r="9" ht="15" customHeight="1" s="101">
      <c r="A9" s="114" t="inlineStr">
        <is>
          <t>Phone / Mobile Data</t>
        </is>
      </c>
      <c r="B9" s="120" t="n">
        <v>200000</v>
      </c>
      <c r="C9" s="121" t="inlineStr">
        <is>
          <t>Partial</t>
        </is>
      </c>
      <c r="D9" s="120" t="n">
        <v>0</v>
      </c>
      <c r="E9" s="120" t="n">
        <v>4</v>
      </c>
      <c r="F9" s="121" t="inlineStr">
        <is>
          <t>Can downgrade plan</t>
        </is>
      </c>
    </row>
    <row r="10" ht="15" customHeight="1" s="101">
      <c r="A10" s="119" t="inlineStr">
        <is>
          <t>FAMILY OBLIGATIONS</t>
        </is>
      </c>
      <c r="B10" s="111" t="n"/>
      <c r="C10" s="111" t="n"/>
      <c r="D10" s="111" t="n"/>
      <c r="E10" s="111" t="n"/>
      <c r="F10" s="112" t="n"/>
    </row>
    <row r="11" ht="15" customHeight="1" s="101">
      <c r="A11" s="114" t="inlineStr">
        <is>
          <t>Support to Parents</t>
        </is>
      </c>
      <c r="B11" s="120" t="n">
        <v>5000000</v>
      </c>
      <c r="C11" s="121" t="inlineStr">
        <is>
          <t>Y</t>
        </is>
      </c>
      <c r="D11" s="120" t="n">
        <v>0</v>
      </c>
      <c r="E11" s="120" t="n">
        <v>1</v>
      </c>
      <c r="F11" s="121" t="inlineStr">
        <is>
          <t>Family commitment</t>
        </is>
      </c>
    </row>
    <row r="12" ht="15" customHeight="1" s="101">
      <c r="A12" s="114" t="inlineStr">
        <is>
          <t>Mother's Medical (Monthly)</t>
        </is>
      </c>
      <c r="B12" s="120">
        <f>150000000/12</f>
        <v/>
      </c>
      <c r="C12" s="121" t="inlineStr">
        <is>
          <t>Y</t>
        </is>
      </c>
      <c r="D12" s="120" t="n">
        <v>0</v>
      </c>
      <c r="E12" s="120" t="n">
        <v>1</v>
      </c>
      <c r="F12" s="121" t="inlineStr">
        <is>
          <t>Beyond 150M reserve</t>
        </is>
      </c>
    </row>
    <row r="13" ht="15" customHeight="1" s="101">
      <c r="A13" s="114" t="inlineStr">
        <is>
          <t>Other Family Support</t>
        </is>
      </c>
      <c r="B13" s="120" t="n">
        <v>0</v>
      </c>
      <c r="C13" s="121" t="inlineStr">
        <is>
          <t>Y</t>
        </is>
      </c>
      <c r="D13" s="120" t="n">
        <v>0</v>
      </c>
      <c r="E13" s="120" t="n">
        <v>1</v>
      </c>
      <c r="F13" s="121" t="inlineStr">
        <is>
          <t>Can negotiate</t>
        </is>
      </c>
    </row>
    <row r="14" ht="15" customHeight="1" s="101">
      <c r="A14" s="119" t="inlineStr">
        <is>
          <t>VARIABLE EXPENSES (Can Adjust)</t>
        </is>
      </c>
      <c r="B14" s="111" t="n"/>
      <c r="C14" s="111" t="n"/>
      <c r="D14" s="111" t="n"/>
      <c r="E14" s="111" t="n"/>
      <c r="F14" s="112" t="n"/>
    </row>
    <row r="15" ht="15" customHeight="1" s="101">
      <c r="A15" s="114" t="inlineStr">
        <is>
          <t>Food &amp; Dining</t>
        </is>
      </c>
      <c r="B15" s="120">
        <f>9000000/60+((1934280+1849000)/2)/61+340000/20</f>
        <v/>
      </c>
      <c r="C15" s="121" t="inlineStr">
        <is>
          <t>Y</t>
        </is>
      </c>
      <c r="D15" s="120" t="n">
        <v>0</v>
      </c>
      <c r="E15" s="120" t="n">
        <v>3</v>
      </c>
      <c r="F15" s="121" t="inlineStr">
        <is>
          <t>Cook at home, reduce eating out</t>
        </is>
      </c>
    </row>
    <row r="16" ht="15" customHeight="1" s="101">
      <c r="A16" s="114" t="inlineStr">
        <is>
          <t>Transportation</t>
        </is>
      </c>
      <c r="B16" s="120" t="n">
        <v>2000000</v>
      </c>
      <c r="C16" s="121" t="inlineStr">
        <is>
          <t>Y</t>
        </is>
      </c>
      <c r="D16" s="120" t="n">
        <v>0</v>
      </c>
      <c r="E16" s="120" t="n">
        <v>4</v>
      </c>
      <c r="F16" s="121" t="inlineStr">
        <is>
          <t>Motorbike instead of Grab</t>
        </is>
      </c>
    </row>
    <row r="17" ht="15" customHeight="1" s="101">
      <c r="A17" s="114" t="inlineStr">
        <is>
          <t>Entertainment / Leisure</t>
        </is>
      </c>
      <c r="B17" s="120">
        <f>(65000+105000)*2</f>
        <v/>
      </c>
      <c r="C17" s="121" t="inlineStr">
        <is>
          <t>Y</t>
        </is>
      </c>
      <c r="D17" s="120" t="n">
        <v>0</v>
      </c>
      <c r="E17" s="120" t="n">
        <v>1</v>
      </c>
      <c r="F17" s="121" t="inlineStr">
        <is>
          <t>CAN CUT COMPLETELY</t>
        </is>
      </c>
    </row>
    <row r="18" ht="15" customHeight="1" s="101">
      <c r="A18" s="114" t="inlineStr">
        <is>
          <t>Shopping / Personal</t>
        </is>
      </c>
      <c r="B18" s="120" t="n">
        <v>5000000</v>
      </c>
      <c r="C18" s="121" t="inlineStr">
        <is>
          <t>Y</t>
        </is>
      </c>
      <c r="D18" s="120" t="n">
        <v>0</v>
      </c>
      <c r="E18" s="120" t="n">
        <v>2</v>
      </c>
      <c r="F18" s="121" t="inlineStr">
        <is>
          <t>Defer non-essential</t>
        </is>
      </c>
    </row>
    <row r="19" ht="15" customHeight="1" s="101">
      <c r="A19" s="114" t="inlineStr">
        <is>
          <t>Education / Self-Development</t>
        </is>
      </c>
      <c r="B19" s="120" t="n">
        <v>2000000</v>
      </c>
      <c r="C19" s="121" t="inlineStr">
        <is>
          <t>Y</t>
        </is>
      </c>
      <c r="D19" s="120" t="n">
        <v>0</v>
      </c>
      <c r="E19" s="120" t="n">
        <v>4</v>
      </c>
      <c r="F19" s="121" t="inlineStr">
        <is>
          <t>Free resources only</t>
        </is>
      </c>
    </row>
    <row r="20" ht="15" customHeight="1" s="101">
      <c r="A20" s="119" t="inlineStr">
        <is>
          <t>IRREGULAR EXPENSES (Annualized)</t>
        </is>
      </c>
      <c r="B20" s="111" t="n"/>
      <c r="C20" s="111" t="n"/>
      <c r="D20" s="111" t="n"/>
      <c r="E20" s="111" t="n"/>
      <c r="F20" s="112" t="n"/>
    </row>
    <row r="21" ht="15" customHeight="1" s="101">
      <c r="A21" s="114" t="inlineStr">
        <is>
          <t>Medical / Healthcare</t>
        </is>
      </c>
      <c r="B21" s="120" t="n">
        <v>4000000</v>
      </c>
      <c r="C21" s="121" t="inlineStr">
        <is>
          <t>Partial</t>
        </is>
      </c>
      <c r="D21" s="120" t="n">
        <v>0</v>
      </c>
      <c r="E21" s="120" t="n">
        <v>4</v>
      </c>
      <c r="F21" s="121" t="inlineStr">
        <is>
          <t>Emergency only, avg per month</t>
        </is>
      </c>
    </row>
    <row r="22" ht="15.75" customHeight="1" s="101">
      <c r="A22" s="114" t="inlineStr">
        <is>
          <t>Travel / Vacation</t>
        </is>
      </c>
      <c r="B22" s="120">
        <f>1400000+505000+400000+435000+525000+180000*2</f>
        <v/>
      </c>
      <c r="C22" s="121" t="inlineStr">
        <is>
          <t>Y</t>
        </is>
      </c>
      <c r="D22" s="120" t="n">
        <v>0</v>
      </c>
      <c r="E22" s="120" t="n">
        <v>2</v>
      </c>
      <c r="F22" s="121" t="inlineStr">
        <is>
          <t>DEFER during unemployment</t>
        </is>
      </c>
    </row>
    <row r="23" ht="15.75" customHeight="1" s="101">
      <c r="A23" s="114" t="inlineStr">
        <is>
          <t>Gifts / Special Occasions</t>
        </is>
      </c>
      <c r="B23" s="120" t="n">
        <v>500000</v>
      </c>
      <c r="C23" s="121" t="inlineStr">
        <is>
          <t>Y</t>
        </is>
      </c>
      <c r="D23" s="120" t="n">
        <v>0</v>
      </c>
      <c r="E23" s="120" t="n">
        <v>1</v>
      </c>
      <c r="F23" s="121" t="inlineStr">
        <is>
          <t>Minimize</t>
        </is>
      </c>
    </row>
    <row r="24" ht="15.75" customHeight="1" s="101">
      <c r="A24" s="114" t="inlineStr">
        <is>
          <t>Home Maintenance (Rental Property)</t>
        </is>
      </c>
      <c r="B24" s="120" t="n">
        <v>200000</v>
      </c>
      <c r="C24" s="121" t="inlineStr">
        <is>
          <t>Partial</t>
        </is>
      </c>
      <c r="D24" s="120" t="n">
        <v>0</v>
      </c>
      <c r="E24" s="120" t="n">
        <v>3</v>
      </c>
      <c r="F24" s="121" t="inlineStr">
        <is>
          <t>Essential only</t>
        </is>
      </c>
    </row>
    <row r="25" ht="15.75" customHeight="1" s="101"/>
    <row r="26" ht="15.75" customHeight="1" s="101">
      <c r="A26" s="132" t="inlineStr">
        <is>
          <t>TOTAL CURRENT MONTHLY EXPENSES</t>
        </is>
      </c>
      <c r="B26" s="133">
        <f>SUM(B5:B24)</f>
        <v/>
      </c>
      <c r="C26" s="100" t="n"/>
    </row>
    <row r="27" ht="15.75" customHeight="1" s="101">
      <c r="A27" s="132" t="inlineStr">
        <is>
          <t>SURVIVAL BUDGET (Priority 4-5 Only)</t>
        </is>
      </c>
      <c r="B27" s="138">
        <f>SUMIF(E5:E24,"&gt;=4",B5:B24)</f>
        <v/>
      </c>
      <c r="C27" s="135" t="inlineStr">
        <is>
          <t>← Absolute minimum if cutting everything possible</t>
        </is>
      </c>
    </row>
    <row r="28" ht="15.75" customHeight="1" s="101">
      <c r="A28" s="132" t="inlineStr">
        <is>
          <t>CUT BUDGET (If all reductions applied)</t>
        </is>
      </c>
      <c r="B28" s="133">
        <f>SUM(D5:D24)</f>
        <v/>
      </c>
      <c r="C28" s="100" t="n"/>
    </row>
    <row r="29" ht="15.75" customHeight="1" s="101"/>
    <row r="30" ht="15.75" customHeight="1" s="101">
      <c r="A30" s="134" t="inlineStr">
        <is>
          <t>🚨 CASH BURN ANALYSIS</t>
        </is>
      </c>
    </row>
    <row r="31" ht="15.75" customHeight="1" s="101">
      <c r="A31" s="100" t="inlineStr">
        <is>
          <t>Current Monthly Expenses:</t>
        </is>
      </c>
      <c r="B31" s="129">
        <f>B26</f>
        <v/>
      </c>
      <c r="C31" s="100" t="inlineStr">
        <is>
          <t>VND/month</t>
        </is>
      </c>
      <c r="D31" s="139" t="inlineStr">
        <is>
          <t>← What you're spending NOW</t>
        </is>
      </c>
    </row>
    <row r="32" ht="15.75" customHeight="1" s="101">
      <c r="A32" s="100" t="inlineStr">
        <is>
          <t>Current Monthly Income:</t>
        </is>
      </c>
      <c r="B32" s="129">
        <f>1_Income!B16</f>
        <v/>
      </c>
      <c r="C32" s="100" t="inlineStr">
        <is>
          <t>VND/month</t>
        </is>
      </c>
      <c r="D32" s="139" t="inlineStr">
        <is>
          <t>← From TAB 1 (Rental only)</t>
        </is>
      </c>
    </row>
    <row r="33" ht="15.75" customHeight="1" s="101">
      <c r="A33" s="140" t="inlineStr">
        <is>
          <t>NET MONTHLY BURN:</t>
        </is>
      </c>
      <c r="B33" s="141">
        <f>B26-1_Income!B16</f>
        <v/>
      </c>
      <c r="C33" s="100" t="inlineStr">
        <is>
          <t>VND/month</t>
        </is>
      </c>
      <c r="D33" s="135" t="inlineStr">
        <is>
          <t>← You're LOSING this much every month</t>
        </is>
      </c>
    </row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  <row r="1001" ht="15.75" customHeight="1" s="101"/>
  </sheetData>
  <mergeCells count="13">
    <mergeCell ref="A2:F2"/>
    <mergeCell ref="A10:F10"/>
    <mergeCell ref="A14:F14"/>
    <mergeCell ref="D31:F31"/>
    <mergeCell ref="A1:F1"/>
    <mergeCell ref="C26:F26"/>
    <mergeCell ref="D32:F32"/>
    <mergeCell ref="A4:F4"/>
    <mergeCell ref="C27:F27"/>
    <mergeCell ref="A30:F30"/>
    <mergeCell ref="A20:F20"/>
    <mergeCell ref="D33:F33"/>
    <mergeCell ref="C28:F28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0" customWidth="1" style="100" min="1" max="1"/>
    <col width="22" customWidth="1" style="100" min="2" max="2"/>
    <col width="16" customWidth="1" style="100" min="3" max="4"/>
    <col width="18" customWidth="1" style="100" min="5" max="5"/>
    <col width="30" customWidth="1" style="100" min="6" max="6"/>
    <col width="8.710000000000001" customWidth="1" style="100" min="7" max="26"/>
  </cols>
  <sheetData>
    <row r="1" ht="30" customHeight="1" s="101">
      <c r="A1" s="116" t="inlineStr">
        <is>
          <t>ASSET INVENTORY - What You Own TODAY</t>
        </is>
      </c>
      <c r="B1" s="111" t="n"/>
      <c r="C1" s="111" t="n"/>
      <c r="D1" s="111" t="n"/>
      <c r="E1" s="111" t="n"/>
      <c r="F1" s="112" t="n"/>
    </row>
    <row r="2" ht="30" customHeight="1" s="101">
      <c r="A2" s="142" t="inlineStr">
        <is>
          <t>📊 Fill in ACTUAL values - use bank statements, not estimates. This feeds TAB 6 automatically.</t>
        </is>
      </c>
    </row>
    <row r="3" ht="24.75" customHeight="1" s="101">
      <c r="A3" s="118" t="inlineStr">
        <is>
          <t>Asset Type</t>
        </is>
      </c>
      <c r="B3" s="118" t="inlineStr">
        <is>
          <t>Current Value (VND)</t>
        </is>
      </c>
      <c r="C3" s="118" t="inlineStr">
        <is>
          <t>Liquidity (Days)</t>
        </is>
      </c>
      <c r="D3" s="118" t="inlineStr">
        <is>
          <t>Annual Growth %</t>
        </is>
      </c>
      <c r="E3" s="118" t="inlineStr">
        <is>
          <t>Category</t>
        </is>
      </c>
      <c r="F3" s="118" t="inlineStr">
        <is>
          <t>Notes</t>
        </is>
      </c>
    </row>
    <row r="4" ht="15" customHeight="1" s="101">
      <c r="A4" s="119" t="inlineStr">
        <is>
          <t>LIQUID ASSETS (0-7 days to cash)</t>
        </is>
      </c>
      <c r="B4" s="111" t="n"/>
      <c r="C4" s="111" t="n"/>
      <c r="D4" s="111" t="n"/>
      <c r="E4" s="111" t="n"/>
      <c r="F4" s="112" t="n"/>
    </row>
    <row r="5" ht="15" customHeight="1" s="101">
      <c r="A5" s="114" t="inlineStr">
        <is>
          <t>Cash - VND Savings</t>
        </is>
      </c>
      <c r="B5" s="120">
        <f>162707708+3185886+809017161+79022+1060046+2048000+74790571-B7</f>
        <v/>
      </c>
      <c r="C5" s="120" t="n">
        <v>1</v>
      </c>
      <c r="D5" s="143" t="n">
        <v>0</v>
      </c>
      <c r="E5" s="121" t="inlineStr">
        <is>
          <t>Liquid</t>
        </is>
      </c>
      <c r="F5" s="121" t="inlineStr">
        <is>
          <t>Bank savings accounts</t>
        </is>
      </c>
    </row>
    <row r="6" ht="15" customHeight="1" s="101">
      <c r="A6" s="114" t="inlineStr">
        <is>
          <t>Cash - USD Savings</t>
        </is>
      </c>
      <c r="B6" s="120" t="n">
        <v>0</v>
      </c>
      <c r="C6" s="120" t="n">
        <v>1</v>
      </c>
      <c r="D6" s="143" t="n">
        <v>0</v>
      </c>
      <c r="E6" s="121" t="inlineStr">
        <is>
          <t>Liquid</t>
        </is>
      </c>
      <c r="F6" s="121" t="inlineStr">
        <is>
          <t>USD accounts (0% interest)</t>
        </is>
      </c>
    </row>
    <row r="7" ht="15" customHeight="1" s="101">
      <c r="A7" s="114" t="inlineStr">
        <is>
          <t>Emergency Reserve</t>
        </is>
      </c>
      <c r="B7" s="144">
        <f>45000000*6</f>
        <v/>
      </c>
      <c r="C7" s="120" t="n">
        <v>1</v>
      </c>
      <c r="D7" s="143" t="n">
        <v>0</v>
      </c>
      <c r="E7" s="121" t="inlineStr">
        <is>
          <t>Liquid</t>
        </is>
      </c>
      <c r="F7" s="121" t="inlineStr">
        <is>
          <t>UNTOUCHABLE - 6 months expenses (ONLY reserve now)</t>
        </is>
      </c>
    </row>
    <row r="8" ht="15" customHeight="1" s="101">
      <c r="A8" s="145" t="inlineStr">
        <is>
          <t>Mother's Medical Reserve (REMOVED)</t>
        </is>
      </c>
      <c r="B8" s="146" t="n">
        <v>0</v>
      </c>
      <c r="C8" s="146" t="n">
        <v>1</v>
      </c>
      <c r="D8" s="147" t="n">
        <v>0</v>
      </c>
      <c r="E8" s="148" t="inlineStr">
        <is>
          <t>Liquid</t>
        </is>
      </c>
      <c r="F8" s="148" t="inlineStr">
        <is>
          <t>NO LONGER NEEDED - Removed from reserves</t>
        </is>
      </c>
    </row>
    <row r="9" ht="15" customHeight="1" s="101">
      <c r="A9" s="119" t="inlineStr">
        <is>
          <t>INVESTED ASSETS (3-30 days to cash)</t>
        </is>
      </c>
      <c r="B9" s="111" t="n"/>
      <c r="C9" s="111" t="n"/>
      <c r="D9" s="111" t="n"/>
      <c r="E9" s="111" t="n"/>
      <c r="F9" s="112" t="n"/>
    </row>
    <row r="10" ht="15" customHeight="1" s="101">
      <c r="A10" s="114" t="inlineStr">
        <is>
          <t>FUEVN100 Holdings</t>
        </is>
      </c>
      <c r="B10" s="120" t="n">
        <v>346500000</v>
      </c>
      <c r="C10" s="120" t="n">
        <v>3</v>
      </c>
      <c r="D10" s="143" t="n">
        <v>0.15</v>
      </c>
      <c r="E10" s="121" t="inlineStr">
        <is>
          <t>Equities</t>
        </is>
      </c>
      <c r="F10" s="121" t="inlineStr">
        <is>
          <t>Current ETF position</t>
        </is>
      </c>
    </row>
    <row r="11" ht="15" customHeight="1" s="101">
      <c r="A11" s="114" t="inlineStr">
        <is>
          <t>E1VFVN30 Holdings</t>
        </is>
      </c>
      <c r="B11" s="120" t="n">
        <v>144000000</v>
      </c>
      <c r="C11" s="120" t="n">
        <v>3</v>
      </c>
      <c r="D11" s="143" t="n">
        <v>0.15</v>
      </c>
      <c r="E11" s="121" t="inlineStr">
        <is>
          <t>Equities</t>
        </is>
      </c>
      <c r="F11" s="121" t="inlineStr">
        <is>
          <t>VN30 fund</t>
        </is>
      </c>
    </row>
    <row r="12" ht="15" customHeight="1" s="101">
      <c r="A12" s="114" t="inlineStr">
        <is>
          <t>Other ETF Holdings</t>
        </is>
      </c>
      <c r="B12" s="120" t="n">
        <v>0</v>
      </c>
      <c r="C12" s="120" t="n">
        <v>3</v>
      </c>
      <c r="D12" s="143" t="n">
        <v>0.15</v>
      </c>
      <c r="E12" s="121" t="inlineStr">
        <is>
          <t>Equities</t>
        </is>
      </c>
      <c r="F12" s="121" t="inlineStr">
        <is>
          <t>Any other index funds</t>
        </is>
      </c>
    </row>
    <row r="13" ht="15" customHeight="1" s="101">
      <c r="A13" s="114" t="inlineStr">
        <is>
          <t>Individual Stocks</t>
        </is>
      </c>
      <c r="B13" s="120" t="n">
        <v>0</v>
      </c>
      <c r="C13" s="120" t="n">
        <v>2</v>
      </c>
      <c r="D13" s="143" t="n">
        <v>0</v>
      </c>
      <c r="E13" s="121" t="inlineStr">
        <is>
          <t>Equities</t>
        </is>
      </c>
      <c r="F13" s="121" t="inlineStr">
        <is>
          <t>If any Vietnamese stocks</t>
        </is>
      </c>
    </row>
    <row r="14" ht="15" customHeight="1" s="101">
      <c r="A14" s="114" t="inlineStr">
        <is>
          <t>Gold (SJC Bars)</t>
        </is>
      </c>
      <c r="B14" s="120" t="n">
        <v>0</v>
      </c>
      <c r="C14" s="120" t="n">
        <v>10</v>
      </c>
      <c r="D14" s="143" t="n">
        <v>0.08</v>
      </c>
      <c r="E14" s="121" t="inlineStr">
        <is>
          <t>Hard Assets</t>
        </is>
      </c>
      <c r="F14" s="121" t="inlineStr">
        <is>
          <t>Physical gold holdings</t>
        </is>
      </c>
    </row>
    <row r="15" ht="15" customHeight="1" s="101">
      <c r="A15" s="114" t="inlineStr">
        <is>
          <t>USD (Investment Portion)</t>
        </is>
      </c>
      <c r="B15" s="120" t="n">
        <v>0</v>
      </c>
      <c r="C15" s="120" t="n">
        <v>1</v>
      </c>
      <c r="D15" s="143" t="n">
        <v>0</v>
      </c>
      <c r="E15" s="121" t="inlineStr">
        <is>
          <t>Hard Assets</t>
        </is>
      </c>
      <c r="F15" s="121" t="inlineStr">
        <is>
          <t>USD for hedging</t>
        </is>
      </c>
    </row>
    <row r="16" ht="15" customHeight="1" s="101">
      <c r="A16" s="119" t="inlineStr">
        <is>
          <t>REAL ESTATE</t>
        </is>
      </c>
      <c r="B16" s="111" t="n"/>
      <c r="C16" s="111" t="n"/>
      <c r="D16" s="111" t="n"/>
      <c r="E16" s="111" t="n"/>
      <c r="F16" s="112" t="n"/>
    </row>
    <row r="17" ht="15" customHeight="1" s="101">
      <c r="A17" s="149" t="inlineStr">
        <is>
          <t>Rental Property
quyền sử dụng đất số 1202 tờ bản đồ số 31</t>
        </is>
      </c>
      <c r="B17" s="120">
        <f>84*65.5*1000000*43%</f>
        <v/>
      </c>
      <c r="C17" s="120" t="n">
        <v>180</v>
      </c>
      <c r="D17" s="143" t="n">
        <v>0.1</v>
      </c>
      <c r="E17" s="121" t="inlineStr">
        <is>
          <t>Real Estate</t>
        </is>
      </c>
      <c r="F17" s="150" t="inlineStr">
        <is>
          <t>Property generating rental income
65.5m2 - 130.8m2
43% - (1.500.000.000 đồng + 43% số tiền lợi nhuận)</t>
        </is>
      </c>
    </row>
    <row r="18" ht="15" customHeight="1" s="101">
      <c r="A18" s="114" t="inlineStr">
        <is>
          <t>Đất anh Hiếu</t>
        </is>
      </c>
      <c r="B18" s="120">
        <f>(500/4000)*3.3*11171*1000000</f>
        <v/>
      </c>
      <c r="C18" s="120">
        <f>6*30</f>
        <v/>
      </c>
      <c r="D18" s="143" t="n">
        <v>0.09</v>
      </c>
      <c r="E18" s="121" t="inlineStr">
        <is>
          <t>Real Estate</t>
        </is>
      </c>
      <c r="F18" s="127" t="inlineStr">
        <is>
          <t>Not yet stablized, still increasing
---
11171 m2
KP2, Phường 1, TP Tây Ninh, Tây Ninh
12.5%</t>
        </is>
      </c>
    </row>
    <row r="19" ht="15" customHeight="1" s="101">
      <c r="A19" s="114" t="inlineStr">
        <is>
          <t>Đất rẫy số DH272468</t>
        </is>
      </c>
      <c r="B19" s="120">
        <f>0.5*1000000*9128.1</f>
        <v/>
      </c>
      <c r="C19" s="120">
        <f>3*30</f>
        <v/>
      </c>
      <c r="D19" s="143" t="n">
        <v>0.05</v>
      </c>
      <c r="E19" s="121" t="inlineStr">
        <is>
          <t>Real Estate</t>
        </is>
      </c>
      <c r="F19" s="150" t="inlineStr">
        <is>
          <t>Ấp suối dộp, Xã Thái Bình, Châu Thành, Tây Ninh
9128.1 m2
100%
Đất trồng cây hàng năm
01/09/2063</t>
        </is>
      </c>
    </row>
    <row r="20" ht="15" customHeight="1" s="101">
      <c r="A20" s="100" t="inlineStr">
        <is>
          <t>Đất rẫy số DH272953</t>
        </is>
      </c>
      <c r="B20" s="120">
        <f>0.5*1000000*20994.7</f>
        <v/>
      </c>
      <c r="C20" s="120">
        <f>3*30</f>
        <v/>
      </c>
      <c r="D20" s="151" t="n">
        <v>0.05</v>
      </c>
      <c r="E20" s="121" t="inlineStr">
        <is>
          <t>Real Estate</t>
        </is>
      </c>
      <c r="F20" s="150" t="inlineStr">
        <is>
          <t>Ấp suối dộp, Xã Thái Bình, Châu Thành, Tây Ninh
20994.7 m2
100%
Đất trồng cây hàng năm
01/09/2063</t>
        </is>
      </c>
    </row>
    <row r="22" ht="15" customHeight="1" s="101">
      <c r="A22" s="132" t="inlineStr">
        <is>
          <t>TOTAL ASSETS</t>
        </is>
      </c>
      <c r="B22" s="133">
        <f>SUM(B5:B19)</f>
        <v/>
      </c>
      <c r="C22" s="100" t="n"/>
    </row>
    <row r="23" ht="15.75" customHeight="1" s="101">
      <c r="A23" s="132" t="inlineStr">
        <is>
          <t>UNTOUCHABLE RESERVES</t>
        </is>
      </c>
      <c r="B23" s="138">
        <f>B7</f>
        <v/>
      </c>
      <c r="C23" s="100" t="n"/>
    </row>
    <row r="24" ht="15.75" customHeight="1" s="101">
      <c r="A24" s="132" t="inlineStr">
        <is>
          <t>AVAILABLE FOR INVESTMENT (Total - Untouchable)</t>
        </is>
      </c>
      <c r="B24" s="152">
        <f>B22-B23</f>
        <v/>
      </c>
      <c r="C24" s="100" t="n"/>
    </row>
    <row r="25" ht="15.75" customHeight="1" s="101">
      <c r="B25" s="153">
        <f>(SUM(B5:B8)+SUM(B10:B15)+SUM(B17:B18))/12</f>
        <v/>
      </c>
    </row>
    <row r="26" ht="15.75" customHeight="1" s="101">
      <c r="A26" s="154" t="inlineStr">
        <is>
          <t>🔑 KEY METRICS FOR TAB 6</t>
        </is>
      </c>
    </row>
    <row r="27" ht="15.75" customHeight="1" s="101">
      <c r="A27" s="100" t="inlineStr">
        <is>
          <t>VN Index Funds (Current):</t>
        </is>
      </c>
      <c r="B27" s="129">
        <f>SUM(B10:B12)</f>
        <v/>
      </c>
      <c r="C27" s="100" t="inlineStr">
        <is>
          <t>← Feeds TAB 6</t>
        </is>
      </c>
    </row>
    <row r="28" ht="15.75" customHeight="1" s="101">
      <c r="A28" s="100" t="inlineStr">
        <is>
          <t>Gold (Current):</t>
        </is>
      </c>
      <c r="B28" s="129">
        <f>B14</f>
        <v/>
      </c>
      <c r="C28" s="100" t="inlineStr">
        <is>
          <t>← Feeds TAB 6</t>
        </is>
      </c>
    </row>
    <row r="29" ht="15.75" customHeight="1" s="101">
      <c r="A29" s="100" t="inlineStr">
        <is>
          <t>USD (Current):</t>
        </is>
      </c>
      <c r="B29" s="129">
        <f>B15</f>
        <v/>
      </c>
      <c r="C29" s="100" t="inlineStr">
        <is>
          <t>← Feeds TAB 6</t>
        </is>
      </c>
    </row>
    <row r="30" ht="15.75" customHeight="1" s="101">
      <c r="A30" s="100" t="inlineStr">
        <is>
          <t>Cash (Current):</t>
        </is>
      </c>
      <c r="B30" s="129">
        <f>B5+B6</f>
        <v/>
      </c>
      <c r="C30" s="100" t="inlineStr">
        <is>
          <t>← Feeds TAB 6</t>
        </is>
      </c>
    </row>
    <row r="31" ht="15.75" customHeight="1" s="101">
      <c r="A31" s="100" t="inlineStr">
        <is>
          <t>Minimum Viable Freedom (MVF):</t>
        </is>
      </c>
      <c r="B31" s="155">
        <f>9_MVF!D18</f>
        <v/>
      </c>
      <c r="C31" s="156" t="inlineStr">
        <is>
          <t>← Your safety net (TAB 9)</t>
        </is>
      </c>
    </row>
    <row r="32" ht="15.75" customHeight="1" s="101">
      <c r="A32" s="100" t="inlineStr">
        <is>
          <t>Surplus Above MVF (Liquid Only):</t>
        </is>
      </c>
      <c r="B32" s="157">
        <f>SUM(B5:B15)-B31</f>
        <v/>
      </c>
      <c r="C32" s="158" t="inlineStr">
        <is>
          <t>← Safe for growth investing</t>
        </is>
      </c>
    </row>
    <row r="33" ht="15.75" customHeight="1" s="101"/>
    <row r="34" ht="15.75" customHeight="1" s="101">
      <c r="A34" s="159" t="inlineStr">
        <is>
          <t>🎯 FINANCIAL FREEDOM MILESTONES</t>
        </is>
      </c>
    </row>
    <row r="35" ht="15.75" customHeight="1" s="101">
      <c r="A35" s="160" t="inlineStr">
        <is>
          <t>Milestone</t>
        </is>
      </c>
      <c r="B35" s="160" t="inlineStr">
        <is>
          <t>Target Amount</t>
        </is>
      </c>
      <c r="C35" s="160" t="inlineStr">
        <is>
          <t>Current %</t>
        </is>
      </c>
      <c r="D35" s="160" t="inlineStr">
        <is>
          <t>Status</t>
        </is>
      </c>
      <c r="E35" s="160" t="inlineStr">
        <is>
          <t>Meaning</t>
        </is>
      </c>
      <c r="F35" s="112" t="n"/>
    </row>
    <row r="36" ht="15.75" customHeight="1" s="101">
      <c r="A36" s="161" t="inlineStr">
        <is>
          <t>1. MVF 💜</t>
        </is>
      </c>
      <c r="B36" s="155">
        <f>9_MVF!D18</f>
        <v/>
      </c>
      <c r="C36" s="162">
        <f>B22/B36</f>
        <v/>
      </c>
      <c r="D36" s="163">
        <f>IF(C36&gt;=1,"✅ ACHIEVED","⚠️ BUILD")</f>
        <v/>
      </c>
      <c r="E36" s="164" t="inlineStr">
        <is>
          <t>Freedom from dependency, can leave bad situations</t>
        </is>
      </c>
      <c r="F36" s="112" t="n"/>
    </row>
    <row r="37" ht="15.75" customHeight="1" s="101">
      <c r="A37" s="161" t="inlineStr">
        <is>
          <t>2. 2× MVF 💜💜</t>
        </is>
      </c>
      <c r="B37" s="129">
        <f>B36*2</f>
        <v/>
      </c>
      <c r="C37" s="162">
        <f>B22/B37</f>
        <v/>
      </c>
      <c r="D37" s="163">
        <f>IF(C37&gt;=1,"✅ ACHIEVED","🔨 WORKING")</f>
        <v/>
      </c>
      <c r="E37" s="164" t="inlineStr">
        <is>
          <t>Comfortable buffer, can take career risks</t>
        </is>
      </c>
      <c r="F37" s="112" t="n"/>
    </row>
    <row r="38" ht="15.75" customHeight="1" s="101">
      <c r="A38" s="165" t="inlineStr">
        <is>
          <t>3. Coast FIRE 🏖️</t>
        </is>
      </c>
      <c r="B38" s="124" t="n">
        <v>3000000000</v>
      </c>
      <c r="C38" s="162">
        <f>B22/B38</f>
        <v/>
      </c>
      <c r="D38" s="163">
        <f>IF(C38&gt;=1,"✅ ACHIEVED","🔨 WORKING")</f>
        <v/>
      </c>
      <c r="E38" s="164" t="inlineStr">
        <is>
          <t>Let investments grow, no need to save more</t>
        </is>
      </c>
      <c r="F38" s="112" t="n"/>
    </row>
    <row r="39" ht="15.75" customHeight="1" s="101">
      <c r="A39" s="165" t="inlineStr">
        <is>
          <t>4. Barista FIRE ☕</t>
        </is>
      </c>
      <c r="B39" s="124" t="n">
        <v>6000000000</v>
      </c>
      <c r="C39" s="162">
        <f>B22/B39</f>
        <v/>
      </c>
      <c r="D39" s="163">
        <f>IF(C39&gt;=1,"✅ ACHIEVED","🔨 WORKING")</f>
        <v/>
      </c>
      <c r="E39" s="164" t="inlineStr">
        <is>
          <t>Part-time work + investment income covers life</t>
        </is>
      </c>
      <c r="F39" s="112" t="n"/>
    </row>
    <row r="40" ht="15.75" customHeight="1" s="101">
      <c r="A40" s="166" t="inlineStr">
        <is>
          <t>5. Full FIRE 🔥</t>
        </is>
      </c>
      <c r="B40" s="124" t="n">
        <v>12500000000</v>
      </c>
      <c r="C40" s="162">
        <f>B22/B40</f>
        <v/>
      </c>
      <c r="D40" s="163">
        <f>IF(C40&gt;=1,"✅ ACHIEVED","🔨 WORKING")</f>
        <v/>
      </c>
      <c r="E40" s="164" t="inlineStr">
        <is>
          <t>Never work again, 4% rule covers all expenses</t>
        </is>
      </c>
      <c r="F40" s="112" t="n"/>
    </row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  <row r="1001" ht="15.75" customHeight="1" s="101"/>
    <row r="1002" ht="15.75" customHeight="1" s="101"/>
  </sheetData>
  <mergeCells count="22">
    <mergeCell ref="A16:F16"/>
    <mergeCell ref="C23:F23"/>
    <mergeCell ref="C32:F32"/>
    <mergeCell ref="A26:F26"/>
    <mergeCell ref="E39:F39"/>
    <mergeCell ref="C28:F28"/>
    <mergeCell ref="A2:F2"/>
    <mergeCell ref="E35:F35"/>
    <mergeCell ref="E38:F38"/>
    <mergeCell ref="C30:F30"/>
    <mergeCell ref="A4:F4"/>
    <mergeCell ref="C24:F24"/>
    <mergeCell ref="E40:F40"/>
    <mergeCell ref="A9:F9"/>
    <mergeCell ref="C29:F29"/>
    <mergeCell ref="A34:F34"/>
    <mergeCell ref="E36:F36"/>
    <mergeCell ref="C22:F22"/>
    <mergeCell ref="C31:F31"/>
    <mergeCell ref="A1:F1"/>
    <mergeCell ref="E37:F37"/>
    <mergeCell ref="C27:F27"/>
  </mergeCells>
  <hyperlinks>
    <hyperlink xmlns:r="http://schemas.openxmlformats.org/officeDocument/2006/relationships" ref="F18" display="Not yet stablized, still increasing&#10;---&#10;11171 m2&#10;KP2, Phường 1, TP Tây Ninh, Tây Ninh&#10;12.5%" r:id="rId1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8" customWidth="1" style="100" min="1" max="1"/>
    <col width="22" customWidth="1" style="100" min="2" max="2"/>
    <col width="20" customWidth="1" style="100" min="3" max="3"/>
    <col width="16" customWidth="1" style="100" min="4" max="6"/>
    <col width="8.710000000000001" customWidth="1" style="100" min="7" max="26"/>
  </cols>
  <sheetData>
    <row r="1" ht="30" customHeight="1" s="101">
      <c r="A1" s="116" t="inlineStr">
        <is>
          <t>DEBT &amp; LIABILITIES - What You Owe</t>
        </is>
      </c>
      <c r="B1" s="111" t="n"/>
      <c r="C1" s="111" t="n"/>
      <c r="D1" s="111" t="n"/>
      <c r="E1" s="111" t="n"/>
      <c r="F1" s="112" t="n"/>
    </row>
    <row r="2" ht="24.75" customHeight="1" s="101">
      <c r="A2" s="167" t="inlineStr">
        <is>
          <t>📝 You mentioned 'zero debt' - confirm this or list any outstanding obligations.</t>
        </is>
      </c>
    </row>
    <row r="3" ht="24.75" customHeight="1" s="101">
      <c r="A3" s="118" t="inlineStr">
        <is>
          <t>Liability Type</t>
        </is>
      </c>
      <c r="B3" s="118" t="inlineStr">
        <is>
          <t>Outstanding Balance</t>
        </is>
      </c>
      <c r="C3" s="118" t="inlineStr">
        <is>
          <t>Monthly Payment</t>
        </is>
      </c>
      <c r="D3" s="118" t="inlineStr">
        <is>
          <t>Interest Rate</t>
        </is>
      </c>
      <c r="E3" s="118" t="inlineStr">
        <is>
          <t>Maturity Date</t>
        </is>
      </c>
      <c r="F3" s="118" t="inlineStr">
        <is>
          <t>Priority (1-5)</t>
        </is>
      </c>
    </row>
    <row r="4" ht="15" customHeight="1" s="101">
      <c r="A4" s="114" t="inlineStr">
        <is>
          <t>Credit Card Debt</t>
        </is>
      </c>
      <c r="B4" s="120" t="n">
        <v>0</v>
      </c>
      <c r="C4" s="120" t="n">
        <v>12000000</v>
      </c>
      <c r="D4" s="143" t="n">
        <v>0.0329</v>
      </c>
      <c r="E4" s="121" t="n"/>
      <c r="F4" s="120" t="n">
        <v>5</v>
      </c>
    </row>
    <row r="5" ht="15" customHeight="1" s="101">
      <c r="A5" s="114" t="inlineStr">
        <is>
          <t>Personal Loan</t>
        </is>
      </c>
      <c r="B5" s="120" t="n">
        <v>0</v>
      </c>
      <c r="C5" s="120" t="n">
        <v>0</v>
      </c>
      <c r="D5" s="143" t="n">
        <v>0</v>
      </c>
      <c r="E5" s="121" t="n"/>
      <c r="F5" s="120" t="n">
        <v>4</v>
      </c>
    </row>
    <row r="6" ht="15" customHeight="1" s="101">
      <c r="A6" s="114" t="inlineStr">
        <is>
          <t>Car Loan</t>
        </is>
      </c>
      <c r="B6" s="120" t="n">
        <v>0</v>
      </c>
      <c r="C6" s="120" t="n">
        <v>0</v>
      </c>
      <c r="D6" s="143" t="n">
        <v>0</v>
      </c>
      <c r="E6" s="121" t="n"/>
      <c r="F6" s="120" t="n">
        <v>3</v>
      </c>
    </row>
    <row r="7" ht="15" customHeight="1" s="101">
      <c r="A7" s="114" t="inlineStr">
        <is>
          <t>Mortgage (Primary)</t>
        </is>
      </c>
      <c r="B7" s="120" t="n">
        <v>0</v>
      </c>
      <c r="C7" s="120" t="n">
        <v>0</v>
      </c>
      <c r="D7" s="143" t="n">
        <v>0</v>
      </c>
      <c r="E7" s="121" t="n"/>
      <c r="F7" s="120" t="n">
        <v>2</v>
      </c>
    </row>
    <row r="8" ht="15" customHeight="1" s="101">
      <c r="A8" s="114" t="inlineStr">
        <is>
          <t>Mortgage (Rental Property)</t>
        </is>
      </c>
      <c r="B8" s="120" t="n">
        <v>0</v>
      </c>
      <c r="C8" s="120" t="n">
        <v>0</v>
      </c>
      <c r="D8" s="143" t="n">
        <v>0</v>
      </c>
      <c r="E8" s="121" t="n"/>
      <c r="F8" s="120" t="n">
        <v>1</v>
      </c>
    </row>
    <row r="9" ht="15" customHeight="1" s="101">
      <c r="A9" s="114" t="inlineStr">
        <is>
          <t>Other Debt</t>
        </is>
      </c>
      <c r="B9" s="120" t="n">
        <v>0</v>
      </c>
      <c r="C9" s="120" t="n">
        <v>0</v>
      </c>
      <c r="D9" s="143" t="n">
        <v>0</v>
      </c>
      <c r="E9" s="121" t="n"/>
      <c r="F9" s="120" t="n">
        <v>0</v>
      </c>
    </row>
    <row r="11" ht="15" customHeight="1" s="101">
      <c r="A11" s="132" t="inlineStr">
        <is>
          <t>TOTAL DEBT</t>
        </is>
      </c>
      <c r="B11" s="133">
        <f>SUM(B4:B9)</f>
        <v/>
      </c>
      <c r="C11" s="133">
        <f>SUM(C4:C9)</f>
        <v/>
      </c>
      <c r="D11" s="100" t="n"/>
    </row>
    <row r="13" ht="15" customHeight="1" s="101">
      <c r="A13" s="100" t="inlineStr">
        <is>
          <t>✅ DEBT STATUS:</t>
        </is>
      </c>
      <c r="B13" s="168">
        <f>IF(B11=0,"ZERO DEBT ✅","DEBT EXISTS ⚠️")</f>
        <v/>
      </c>
    </row>
    <row r="21" ht="15.75" customHeight="1" s="101"/>
    <row r="22" ht="15.75" customHeight="1" s="101"/>
    <row r="23" ht="15.75" customHeight="1" s="101"/>
    <row r="24" ht="15.75" customHeight="1" s="101"/>
    <row r="25" ht="15.75" customHeight="1" s="101"/>
    <row r="26" ht="15.75" customHeight="1" s="101"/>
    <row r="27" ht="15.75" customHeight="1" s="101"/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4">
    <mergeCell ref="A2:F2"/>
    <mergeCell ref="D11:F11"/>
    <mergeCell ref="A1:F1"/>
    <mergeCell ref="B13:F1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5" customWidth="1" style="100" min="1" max="1"/>
    <col width="14" customWidth="1" style="100" min="2" max="3"/>
    <col width="20" customWidth="1" style="100" min="4" max="4"/>
    <col width="14" customWidth="1" style="100" min="5" max="5"/>
    <col width="16" customWidth="1" style="100" min="6" max="6"/>
    <col width="30" customWidth="1" style="100" min="7" max="7"/>
    <col width="8.710000000000001" customWidth="1" style="100" min="8" max="26"/>
  </cols>
  <sheetData>
    <row r="1" ht="30" customHeight="1" s="101">
      <c r="A1" s="116" t="inlineStr">
        <is>
          <t>CAREER TRANSITION TIMELINE - When Does Income Resume?</t>
        </is>
      </c>
      <c r="B1" s="111" t="n"/>
      <c r="C1" s="111" t="n"/>
      <c r="D1" s="111" t="n"/>
      <c r="E1" s="111" t="n"/>
      <c r="F1" s="111" t="n"/>
      <c r="G1" s="112" t="n"/>
    </row>
    <row r="2" ht="30" customHeight="1" s="101">
      <c r="A2" s="117" t="inlineStr">
        <is>
          <t>🚨 CRITICAL: This determines how much you can invest. Give REALISTIC estimates even if uncertain.</t>
        </is>
      </c>
    </row>
    <row r="3" ht="24.75" customHeight="1" s="101">
      <c r="A3" s="118" t="inlineStr">
        <is>
          <t>Timeline Item</t>
        </is>
      </c>
      <c r="B3" s="118" t="inlineStr">
        <is>
          <t>Probability %</t>
        </is>
      </c>
      <c r="C3" s="118" t="inlineStr">
        <is>
          <t>Start Date</t>
        </is>
      </c>
      <c r="D3" s="118" t="inlineStr">
        <is>
          <t>Impact (VND)</t>
        </is>
      </c>
      <c r="E3" s="118" t="inlineStr">
        <is>
          <t>End Date</t>
        </is>
      </c>
      <c r="F3" s="118" t="inlineStr">
        <is>
          <t>Duration (Months)</t>
        </is>
      </c>
      <c r="G3" s="118" t="inlineStr">
        <is>
          <t>Notes</t>
        </is>
      </c>
    </row>
    <row r="4" ht="15" customHeight="1" s="101">
      <c r="A4" s="119" t="inlineStr">
        <is>
          <t>TRACK 1: AGGRESSIVE JOB SEARCH</t>
        </is>
      </c>
      <c r="B4" s="111" t="n"/>
      <c r="C4" s="111" t="n"/>
      <c r="D4" s="111" t="n"/>
      <c r="E4" s="111" t="n"/>
      <c r="F4" s="111" t="n"/>
      <c r="G4" s="112" t="n"/>
    </row>
    <row r="5" ht="15" customHeight="1" s="101">
      <c r="A5" s="100" t="inlineStr">
        <is>
          <t>Job Search Start Date</t>
        </is>
      </c>
      <c r="B5" s="121" t="inlineStr">
        <is>
          <t>100%</t>
        </is>
      </c>
      <c r="C5" s="169" t="inlineStr">
        <is>
          <t>2025-12-01</t>
        </is>
      </c>
      <c r="D5" s="120" t="n">
        <v>0</v>
      </c>
      <c r="E5" s="100" t="n"/>
      <c r="G5" s="121" t="inlineStr">
        <is>
          <t>When did unemployment START?</t>
        </is>
      </c>
    </row>
    <row r="6" ht="15" customHeight="1" s="101">
      <c r="A6" s="100" t="inlineStr">
        <is>
          <t>Expected Job Offer (Optimistic)</t>
        </is>
      </c>
      <c r="B6" s="121" t="inlineStr">
        <is>
          <t>30%</t>
        </is>
      </c>
      <c r="C6" s="169" t="inlineStr">
        <is>
          <t>2026-01-01</t>
        </is>
      </c>
      <c r="D6" s="124" t="n">
        <v>0</v>
      </c>
      <c r="E6" s="121" t="inlineStr">
        <is>
          <t>Ongoing</t>
        </is>
      </c>
      <c r="F6" s="170">
        <f>(C6-C5)/30</f>
        <v/>
      </c>
      <c r="G6" s="121" t="inlineStr">
        <is>
          <t>1-month timeline</t>
        </is>
      </c>
    </row>
    <row r="7" ht="15" customHeight="1" s="101">
      <c r="A7" s="100" t="inlineStr">
        <is>
          <t>Expected Job Offer (Realistic)</t>
        </is>
      </c>
      <c r="B7" s="121" t="inlineStr">
        <is>
          <t>50%</t>
        </is>
      </c>
      <c r="C7" s="169" t="inlineStr">
        <is>
          <t>2026-03-01</t>
        </is>
      </c>
      <c r="D7" s="124" t="n">
        <v>0</v>
      </c>
      <c r="E7" s="121" t="inlineStr">
        <is>
          <t>Ongoing</t>
        </is>
      </c>
      <c r="F7" s="170">
        <f>(C7-C5)/30</f>
        <v/>
      </c>
      <c r="G7" s="121" t="inlineStr">
        <is>
          <t>3-month timeline</t>
        </is>
      </c>
    </row>
    <row r="8" ht="15" customHeight="1" s="101">
      <c r="A8" s="100" t="inlineStr">
        <is>
          <t>Expected Job Offer (Pessimistic)</t>
        </is>
      </c>
      <c r="B8" s="121" t="inlineStr">
        <is>
          <t>20%</t>
        </is>
      </c>
      <c r="C8" s="169" t="inlineStr">
        <is>
          <t>2026-06-01</t>
        </is>
      </c>
      <c r="D8" s="124" t="n">
        <v>0</v>
      </c>
      <c r="E8" s="121" t="inlineStr">
        <is>
          <t>Ongoing</t>
        </is>
      </c>
      <c r="F8" s="170">
        <f>(C8-C5)/30</f>
        <v/>
      </c>
      <c r="G8" s="121" t="inlineStr">
        <is>
          <t>6-month timeline</t>
        </is>
      </c>
    </row>
    <row r="9" ht="15" customHeight="1" s="101">
      <c r="A9" s="119" t="inlineStr">
        <is>
          <t>TRACK 2: HALF WORKING, HALF STUDYING</t>
        </is>
      </c>
      <c r="B9" s="111" t="n"/>
      <c r="C9" s="111" t="n"/>
      <c r="D9" s="111" t="n"/>
      <c r="E9" s="111" t="n"/>
      <c r="F9" s="111" t="n"/>
      <c r="G9" s="112" t="n"/>
    </row>
    <row r="10" ht="15" customHeight="1" s="101">
      <c r="A10" s="100" t="inlineStr">
        <is>
          <t>Part-Time Work Start</t>
        </is>
      </c>
      <c r="B10" s="121" t="inlineStr">
        <is>
          <t>25%</t>
        </is>
      </c>
      <c r="C10" s="169" t="inlineStr">
        <is>
          <t>2026-02-01</t>
        </is>
      </c>
      <c r="D10" s="124" t="n">
        <v>0</v>
      </c>
      <c r="E10" s="121" t="n"/>
      <c r="F10" s="120" t="n"/>
      <c r="G10" s="121" t="inlineStr">
        <is>
          <t>Estimate 50% of full salary?</t>
        </is>
      </c>
    </row>
    <row r="11" ht="15" customHeight="1" s="101">
      <c r="A11" s="100" t="inlineStr">
        <is>
          <t>Study Program Cost (One-Time)</t>
        </is>
      </c>
      <c r="B11" s="121" t="n"/>
      <c r="C11" s="169" t="inlineStr">
        <is>
          <t>2026-02-01</t>
        </is>
      </c>
      <c r="D11" s="124" t="n">
        <v>0</v>
      </c>
      <c r="E11" s="121" t="inlineStr">
        <is>
          <t>One-time</t>
        </is>
      </c>
      <c r="F11" s="120" t="n"/>
      <c r="G11" s="121" t="inlineStr">
        <is>
          <t>Total tuition cost</t>
        </is>
      </c>
    </row>
    <row r="12" ht="15" customHeight="1" s="101">
      <c r="A12" s="100" t="inlineStr">
        <is>
          <t>Study Program Duration</t>
        </is>
      </c>
      <c r="B12" s="121" t="n"/>
      <c r="C12" s="121" t="n"/>
      <c r="D12" s="120" t="n"/>
      <c r="E12" s="169" t="inlineStr">
        <is>
          <t>2026-08-01</t>
        </is>
      </c>
      <c r="F12" s="170">
        <f>(E12-C10)/30</f>
        <v/>
      </c>
      <c r="G12" s="121" t="inlineStr">
        <is>
          <t>How many months?</t>
        </is>
      </c>
    </row>
    <row r="13" ht="15" customHeight="1" s="101">
      <c r="A13" s="119" t="inlineStr">
        <is>
          <t>TRACK 3: FULL-TIME STUDYING</t>
        </is>
      </c>
      <c r="B13" s="111" t="n"/>
      <c r="C13" s="111" t="n"/>
      <c r="D13" s="111" t="n"/>
      <c r="E13" s="111" t="n"/>
      <c r="F13" s="111" t="n"/>
      <c r="G13" s="112" t="n"/>
    </row>
    <row r="14" ht="15" customHeight="1" s="101">
      <c r="A14" s="100" t="inlineStr">
        <is>
          <t>Full-Time Study Start</t>
        </is>
      </c>
      <c r="B14" s="121" t="inlineStr">
        <is>
          <t>15%</t>
        </is>
      </c>
      <c r="C14" s="169" t="inlineStr">
        <is>
          <t>2026-01-01</t>
        </is>
      </c>
      <c r="D14" s="124" t="n">
        <v>0</v>
      </c>
      <c r="E14" s="121" t="n"/>
      <c r="F14" s="120" t="n"/>
      <c r="G14" s="121" t="inlineStr">
        <is>
          <t>Total program cost</t>
        </is>
      </c>
    </row>
    <row r="15" ht="15" customHeight="1" s="101">
      <c r="A15" s="100" t="inlineStr">
        <is>
          <t>Study Program End</t>
        </is>
      </c>
      <c r="B15" s="121" t="n"/>
      <c r="C15" s="121" t="n"/>
      <c r="D15" s="120" t="n"/>
      <c r="E15" s="169" t="inlineStr">
        <is>
          <t>2026-12-01</t>
        </is>
      </c>
      <c r="F15" s="170">
        <f>(E15-C14)/30</f>
        <v/>
      </c>
      <c r="G15" s="121" t="inlineStr">
        <is>
          <t>Program duration</t>
        </is>
      </c>
    </row>
    <row r="16" ht="15" customHeight="1" s="101">
      <c r="A16" s="100" t="inlineStr">
        <is>
          <t>Post-Study Job Search</t>
        </is>
      </c>
      <c r="B16" s="121" t="n"/>
      <c r="C16" s="169" t="inlineStr">
        <is>
          <t>2026-12-01</t>
        </is>
      </c>
      <c r="D16" s="120" t="n">
        <v>0</v>
      </c>
      <c r="E16" s="121" t="inlineStr">
        <is>
          <t>Ongoing</t>
        </is>
      </c>
      <c r="F16" s="120" t="n"/>
      <c r="G16" s="121" t="inlineStr">
        <is>
          <t>When does income resume?</t>
        </is>
      </c>
    </row>
    <row r="18" ht="15" customHeight="1" s="101">
      <c r="A18" s="154" t="inlineStr">
        <is>
          <t>📊 SCENARIO SUMMARY</t>
        </is>
      </c>
    </row>
    <row r="19" ht="15" customHeight="1" s="101">
      <c r="A19" s="100" t="inlineStr">
        <is>
          <t>Most Likely Scenario:</t>
        </is>
      </c>
      <c r="B19" s="158" t="inlineStr">
        <is>
          <t>Track 1 - Realistic</t>
        </is>
      </c>
      <c r="C19" s="100" t="inlineStr">
        <is>
          <t>Expected unemployment:</t>
        </is>
      </c>
      <c r="D19" s="170" t="n">
        <v>3</v>
      </c>
      <c r="E19" s="100" t="inlineStr">
        <is>
          <t>months</t>
        </is>
      </c>
      <c r="F19" s="171" t="inlineStr">
        <is>
          <t>← Feeds TAB 6-8</t>
        </is>
      </c>
    </row>
    <row r="21" ht="15.75" customHeight="1" s="101"/>
    <row r="22" ht="15.75" customHeight="1" s="101"/>
    <row r="23" ht="15.75" customHeight="1" s="101"/>
    <row r="24" ht="15.75" customHeight="1" s="101"/>
    <row r="25" ht="15.75" customHeight="1" s="101"/>
    <row r="26" ht="15.75" customHeight="1" s="101"/>
    <row r="27" ht="15.75" customHeight="1" s="101"/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8">
    <mergeCell ref="A13:G13"/>
    <mergeCell ref="A1:G1"/>
    <mergeCell ref="A18:G18"/>
    <mergeCell ref="A9:G9"/>
    <mergeCell ref="F19:G19"/>
    <mergeCell ref="A4:G4"/>
    <mergeCell ref="E5:F5"/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8" customWidth="1" style="100" min="1" max="1"/>
    <col width="20" customWidth="1" style="100" min="2" max="2"/>
    <col width="14" customWidth="1" style="100" min="3" max="4"/>
    <col width="20" customWidth="1" style="100" min="5" max="6"/>
    <col width="8.710000000000001" customWidth="1" style="100" min="7" max="26"/>
  </cols>
  <sheetData>
    <row r="1" ht="30" customHeight="1" s="101">
      <c r="A1" s="116" t="inlineStr">
        <is>
          <t>INVESTMENT ALLOCATION - Current vs Target (AUTO-CALCULATED)</t>
        </is>
      </c>
      <c r="B1" s="111" t="n"/>
      <c r="C1" s="111" t="n"/>
      <c r="D1" s="111" t="n"/>
      <c r="E1" s="111" t="n"/>
      <c r="F1" s="112" t="n"/>
    </row>
    <row r="2" ht="30" customHeight="1" s="101">
      <c r="A2" s="142" t="inlineStr">
        <is>
          <t>⚙️ AUTO-CALCULATED from TAB 3 &amp; TAB 5. UPDATED: Mother's Medical Reserve removed (150M freed up).</t>
        </is>
      </c>
    </row>
    <row r="3" ht="24.75" customHeight="1" s="101">
      <c r="A3" s="118" t="inlineStr">
        <is>
          <t>Asset Class</t>
        </is>
      </c>
      <c r="B3" s="118" t="inlineStr">
        <is>
          <t>Current Amount</t>
        </is>
      </c>
      <c r="C3" s="118" t="inlineStr">
        <is>
          <t>Current %</t>
        </is>
      </c>
      <c r="D3" s="118" t="inlineStr">
        <is>
          <t>Target %</t>
        </is>
      </c>
      <c r="E3" s="118" t="inlineStr">
        <is>
          <t>Target Amount</t>
        </is>
      </c>
      <c r="F3" s="118" t="inlineStr">
        <is>
          <t>Gap (VND)</t>
        </is>
      </c>
    </row>
    <row r="4" ht="15" customHeight="1" s="101">
      <c r="A4" s="119" t="inlineStr">
        <is>
          <t>EQUITIES</t>
        </is>
      </c>
      <c r="B4" s="111" t="n"/>
      <c r="C4" s="111" t="n"/>
      <c r="D4" s="111" t="n"/>
      <c r="E4" s="111" t="n"/>
      <c r="F4" s="112" t="n"/>
    </row>
    <row r="5" ht="15" customHeight="1" s="101">
      <c r="A5" s="100" t="inlineStr">
        <is>
          <t>VN Index Funds</t>
        </is>
      </c>
      <c r="B5" s="129">
        <f>3_Assets!B27</f>
        <v/>
      </c>
      <c r="C5" s="143">
        <f>B5/3_Assets!B24</f>
        <v/>
      </c>
      <c r="D5" s="143">
        <f>IF(5_Career!D19&lt;=3,0.55,IF(5_Career!D19&lt;=6,0.45,IF(5_Career!D19&lt;=12,0.3,0.1)))</f>
        <v/>
      </c>
      <c r="E5" s="129">
        <f>D5*3_Assets!B24</f>
        <v/>
      </c>
      <c r="F5" s="129">
        <f>E5-B5</f>
        <v/>
      </c>
    </row>
    <row r="6" ht="15" customHeight="1" s="101">
      <c r="A6" s="119" t="inlineStr">
        <is>
          <t>HARD ASSETS</t>
        </is>
      </c>
      <c r="B6" s="111" t="n"/>
      <c r="C6" s="111" t="n"/>
      <c r="D6" s="111" t="n"/>
      <c r="E6" s="111" t="n"/>
      <c r="F6" s="112" t="n"/>
    </row>
    <row r="7" ht="15" customHeight="1" s="101">
      <c r="A7" s="100" t="inlineStr">
        <is>
          <t>Gold (SJC)</t>
        </is>
      </c>
      <c r="B7" s="129">
        <f>3_Assets!B28</f>
        <v/>
      </c>
      <c r="C7" s="143">
        <f>B7/3_Assets!B24</f>
        <v/>
      </c>
      <c r="D7" s="143" t="n">
        <v>0.1</v>
      </c>
      <c r="E7" s="129">
        <f>D7*3_Assets!B24</f>
        <v/>
      </c>
      <c r="F7" s="129">
        <f>E7-B7</f>
        <v/>
      </c>
    </row>
    <row r="8" ht="15" customHeight="1" s="101">
      <c r="A8" s="100" t="inlineStr">
        <is>
          <t>USD</t>
        </is>
      </c>
      <c r="B8" s="129">
        <f>3_Assets!B29</f>
        <v/>
      </c>
      <c r="C8" s="143">
        <f>B8/3_Assets!B24</f>
        <v/>
      </c>
      <c r="D8" s="143" t="n">
        <v>0.1</v>
      </c>
      <c r="E8" s="129">
        <f>D8*3_Assets!B24</f>
        <v/>
      </c>
      <c r="F8" s="129">
        <f>E8-B8</f>
        <v/>
      </c>
    </row>
    <row r="9" ht="15" customHeight="1" s="101">
      <c r="A9" s="119" t="inlineStr">
        <is>
          <t>CASH RESERVES</t>
        </is>
      </c>
      <c r="B9" s="111" t="n"/>
      <c r="C9" s="111" t="n"/>
      <c r="D9" s="111" t="n"/>
      <c r="E9" s="111" t="n"/>
      <c r="F9" s="112" t="n"/>
    </row>
    <row r="10" ht="15" customHeight="1" s="101">
      <c r="A10" s="100" t="inlineStr">
        <is>
          <t>Tactical Cash</t>
        </is>
      </c>
      <c r="B10" s="129">
        <f>3_Assets!B30</f>
        <v/>
      </c>
      <c r="C10" s="143">
        <f>B10/3_Assets!B24</f>
        <v/>
      </c>
      <c r="D10" s="143">
        <f>1-D5-D7-D8</f>
        <v/>
      </c>
      <c r="E10" s="129">
        <f>D10*3_Assets!B24</f>
        <v/>
      </c>
      <c r="F10" s="129">
        <f>E10-B10</f>
        <v/>
      </c>
    </row>
    <row r="12" ht="15" customHeight="1" s="101">
      <c r="A12" s="132" t="inlineStr">
        <is>
          <t>TOTAL INVESTABLE ASSETS</t>
        </is>
      </c>
      <c r="B12" s="133">
        <f>SUM(B5,B7,B8,B10)</f>
        <v/>
      </c>
      <c r="C12" s="172">
        <f>B12/3_Assets!B24</f>
        <v/>
      </c>
      <c r="D12" s="172" t="n">
        <v>1</v>
      </c>
      <c r="E12" s="133">
        <f>3_Assets!B24</f>
        <v/>
      </c>
      <c r="F12" s="132" t="n">
        <v>0</v>
      </c>
    </row>
    <row r="14" ht="15" customHeight="1" s="101">
      <c r="A14" s="154" t="inlineStr">
        <is>
          <t>💡 ALLOCATION LOGIC (Based on TAB 5)</t>
        </is>
      </c>
    </row>
    <row r="15" ht="15" customHeight="1" s="101">
      <c r="A15" s="100" t="inlineStr">
        <is>
          <t>Unemployment Duration Estimate:</t>
        </is>
      </c>
      <c r="B15" s="170" t="n">
        <v>6</v>
      </c>
      <c r="C15" s="100" t="inlineStr">
        <is>
          <t>months</t>
        </is>
      </c>
      <c r="D15" s="100" t="inlineStr">
        <is>
          <t>← From TAB 5</t>
        </is>
      </c>
    </row>
    <row r="16" ht="15" customHeight="1" s="101">
      <c r="A16" s="100" t="inlineStr">
        <is>
          <t>Safe Stock Allocation:</t>
        </is>
      </c>
      <c r="B16" s="143">
        <f>D5</f>
        <v/>
      </c>
      <c r="C16" s="173" t="inlineStr">
        <is>
          <t>← AUTO-CALCULATED</t>
        </is>
      </c>
    </row>
    <row r="17" ht="15" customHeight="1" s="101">
      <c r="A17" s="100" t="inlineStr">
        <is>
          <t>Logic:</t>
        </is>
      </c>
      <c r="B17" s="174" t="inlineStr">
        <is>
          <t>&lt;=3mo: 55% stocks | 3-6mo: 45% | 6-12mo: 30% | &gt;12mo: 10%</t>
        </is>
      </c>
    </row>
    <row r="19" ht="15" customHeight="1" s="101">
      <c r="A19" s="175" t="inlineStr">
        <is>
          <t>⚠️ MVF CHECK:</t>
        </is>
      </c>
    </row>
    <row r="20" ht="15" customHeight="1" s="101">
      <c r="A20" s="100" t="inlineStr">
        <is>
          <t>MVF Coverage:</t>
        </is>
      </c>
      <c r="B20" s="143">
        <f>9_MVF!D23</f>
        <v/>
      </c>
      <c r="C20" s="100" t="inlineStr">
        <is>
          <t>← See TAB 9 for details</t>
        </is>
      </c>
    </row>
    <row r="21" ht="15.75" customHeight="1" s="101">
      <c r="A21" s="100" t="inlineStr">
        <is>
          <t>Safe to Invest:</t>
        </is>
      </c>
      <c r="B21" s="157">
        <f>9_MVF!D24</f>
        <v/>
      </c>
      <c r="C21" s="109" t="inlineStr">
        <is>
          <t>← ONLY invest this amount</t>
        </is>
      </c>
    </row>
    <row r="22" ht="15.75" customHeight="1" s="101"/>
    <row r="23" ht="15.75" customHeight="1" s="101"/>
    <row r="24" ht="15.75" customHeight="1" s="101"/>
    <row r="25" ht="15.75" customHeight="1" s="101"/>
    <row r="26" ht="15.75" customHeight="1" s="101"/>
    <row r="27" ht="15.75" customHeight="1" s="101"/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12">
    <mergeCell ref="A2:F2"/>
    <mergeCell ref="A19:F19"/>
    <mergeCell ref="A14:F14"/>
    <mergeCell ref="A1:F1"/>
    <mergeCell ref="C20:F20"/>
    <mergeCell ref="A9:F9"/>
    <mergeCell ref="C21:F21"/>
    <mergeCell ref="A6:F6"/>
    <mergeCell ref="C16:F16"/>
    <mergeCell ref="D15:F15"/>
    <mergeCell ref="A4:F4"/>
    <mergeCell ref="B17:F1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1.43" customWidth="1" style="100" min="1" max="1"/>
    <col width="18" customWidth="1" style="100" min="2" max="2"/>
    <col width="16" customWidth="1" style="100" min="3" max="6"/>
    <col width="18" customWidth="1" style="100" min="7" max="7"/>
    <col width="14" customWidth="1" style="100" min="8" max="8"/>
    <col width="8.710000000000001" customWidth="1" style="100" min="9" max="26"/>
  </cols>
  <sheetData>
    <row r="1" ht="30" customHeight="1" s="101">
      <c r="A1" s="116" t="inlineStr">
        <is>
          <t>12-MONTH CASH FLOW PROJECTION (AUTO-CALCULATED)</t>
        </is>
      </c>
      <c r="B1" s="111" t="n"/>
      <c r="C1" s="111" t="n"/>
      <c r="D1" s="111" t="n"/>
      <c r="E1" s="111" t="n"/>
      <c r="F1" s="111" t="n"/>
      <c r="G1" s="111" t="n"/>
      <c r="H1" s="112" t="n"/>
    </row>
    <row r="2" ht="30" customHeight="1" s="101">
      <c r="A2" s="117" t="inlineStr">
        <is>
          <t>⚙️ AUTO-CALCULATED. Shows month-by-month burn. Watch 'Runway' column - it's your countdown.</t>
        </is>
      </c>
    </row>
    <row r="3" ht="24.75" customHeight="1" s="101">
      <c r="A3" s="118" t="inlineStr">
        <is>
          <t>Month</t>
        </is>
      </c>
      <c r="B3" s="118" t="inlineStr">
        <is>
          <t>Starting Cash</t>
        </is>
      </c>
      <c r="C3" s="118" t="inlineStr">
        <is>
          <t>Income</t>
        </is>
      </c>
      <c r="D3" s="118" t="inlineStr">
        <is>
          <t>Expenses</t>
        </is>
      </c>
      <c r="E3" s="118" t="inlineStr">
        <is>
          <t>Net Flow</t>
        </is>
      </c>
      <c r="F3" s="118" t="inlineStr">
        <is>
          <t>Investment</t>
        </is>
      </c>
      <c r="G3" s="118" t="inlineStr">
        <is>
          <t>Ending Cash</t>
        </is>
      </c>
      <c r="H3" s="118" t="inlineStr">
        <is>
          <t>Runway (mo)</t>
        </is>
      </c>
    </row>
    <row r="4" ht="15" customHeight="1" s="101">
      <c r="A4" s="176" t="n">
        <v>46071</v>
      </c>
      <c r="B4" s="129">
        <f>3_Assets!B30</f>
        <v/>
      </c>
      <c r="C4" s="129">
        <f>1_Income!$B$7+1_Income!$B$8+IF(A4&gt;=1_Income!$D$9,1_Income!$B$9,0)</f>
        <v/>
      </c>
      <c r="D4" s="129">
        <f>2_Expenses!B26</f>
        <v/>
      </c>
      <c r="E4" s="177">
        <f>C4-D4</f>
        <v/>
      </c>
      <c r="F4" s="120" t="n">
        <v>0</v>
      </c>
      <c r="G4" s="129">
        <f>B4+E4-F4</f>
        <v/>
      </c>
      <c r="H4" s="170">
        <f>IF(E4&gt;=0,999,G4/ABS(2_Expenses!B33))</f>
        <v/>
      </c>
    </row>
    <row r="5" ht="15" customHeight="1" s="101">
      <c r="A5" s="176" t="n">
        <v>46082</v>
      </c>
      <c r="B5" s="129">
        <f>G4</f>
        <v/>
      </c>
      <c r="C5" s="129">
        <f>1_Income!$B$7+1_Income!$B$8+IF(A5&gt;=1_Income!$D$9,1_Income!$B$9,0)</f>
        <v/>
      </c>
      <c r="D5" s="129">
        <f>2_Expenses!B26</f>
        <v/>
      </c>
      <c r="E5" s="129">
        <f>C5-D5</f>
        <v/>
      </c>
      <c r="F5" s="120" t="n">
        <v>0</v>
      </c>
      <c r="G5" s="129">
        <f>B5+E5-F5</f>
        <v/>
      </c>
      <c r="H5" s="178">
        <f>IF(E5&gt;=0,999,G5/ABS(2_Expenses!B33))</f>
        <v/>
      </c>
    </row>
    <row r="6" ht="15" customHeight="1" s="101">
      <c r="A6" s="176">
        <f>A5+30</f>
        <v/>
      </c>
      <c r="B6" s="129">
        <f>G5</f>
        <v/>
      </c>
      <c r="C6" s="129">
        <f>1_Income!$B$7+1_Income!$B$8+IF(A6&gt;=1_Income!$D$9,1_Income!$B$9,0)</f>
        <v/>
      </c>
      <c r="D6" s="129">
        <f>2_Expenses!B26</f>
        <v/>
      </c>
      <c r="E6" s="129">
        <f>C6-D6</f>
        <v/>
      </c>
      <c r="F6" s="120" t="n">
        <v>0</v>
      </c>
      <c r="G6" s="129">
        <f>B6+E6-F6</f>
        <v/>
      </c>
      <c r="H6" s="178">
        <f>IF(E6&gt;=0,999,G6/ABS(2_Expenses!B33))</f>
        <v/>
      </c>
    </row>
    <row r="7" ht="15" customHeight="1" s="101">
      <c r="A7" s="176">
        <f>A6+30</f>
        <v/>
      </c>
      <c r="B7" s="129">
        <f>G6</f>
        <v/>
      </c>
      <c r="C7" s="129">
        <f>1_Income!$B$7+1_Income!$B$8+IF(A7&gt;=1_Income!$D$9,1_Income!$B$9,0)</f>
        <v/>
      </c>
      <c r="D7" s="129">
        <f>2_Expenses!B26</f>
        <v/>
      </c>
      <c r="E7" s="129">
        <f>C7-D7</f>
        <v/>
      </c>
      <c r="F7" s="120" t="n">
        <v>0</v>
      </c>
      <c r="G7" s="129">
        <f>B7+E7-F7</f>
        <v/>
      </c>
      <c r="H7" s="178">
        <f>IF(E7&gt;=0,999,G7/ABS(2_Expenses!B33))</f>
        <v/>
      </c>
    </row>
    <row r="8" ht="15" customHeight="1" s="101">
      <c r="A8" s="176">
        <f>A7+30</f>
        <v/>
      </c>
      <c r="B8" s="129">
        <f>G7</f>
        <v/>
      </c>
      <c r="C8" s="129">
        <f>1_Income!$B$7+1_Income!$B$8+IF(A8&gt;=1_Income!$D$9,1_Income!$B$9,0)</f>
        <v/>
      </c>
      <c r="D8" s="129">
        <f>2_Expenses!B26</f>
        <v/>
      </c>
      <c r="E8" s="129">
        <f>C8-D8</f>
        <v/>
      </c>
      <c r="F8" s="120" t="n">
        <v>0</v>
      </c>
      <c r="G8" s="129">
        <f>B8+E8-F8</f>
        <v/>
      </c>
      <c r="H8" s="178">
        <f>IF(E8&gt;=0,999,G8/ABS(2_Expenses!B33))</f>
        <v/>
      </c>
    </row>
    <row r="9" ht="15" customHeight="1" s="101">
      <c r="A9" s="176">
        <f>A8+30</f>
        <v/>
      </c>
      <c r="B9" s="129">
        <f>G8</f>
        <v/>
      </c>
      <c r="C9" s="129">
        <f>1_Income!$B$7+1_Income!$B$8+IF(A9&gt;=1_Income!$D$9,1_Income!$B$9,0)</f>
        <v/>
      </c>
      <c r="D9" s="129">
        <f>2_Expenses!B26</f>
        <v/>
      </c>
      <c r="E9" s="129">
        <f>C9-D9</f>
        <v/>
      </c>
      <c r="F9" s="120" t="n">
        <v>0</v>
      </c>
      <c r="G9" s="129">
        <f>B9+E9-F9</f>
        <v/>
      </c>
      <c r="H9" s="178">
        <f>IF(E9&gt;=0,999,G9/ABS(2_Expenses!B33))</f>
        <v/>
      </c>
    </row>
    <row r="10" ht="15" customHeight="1" s="101">
      <c r="A10" s="176">
        <f>A9+30</f>
        <v/>
      </c>
      <c r="B10" s="129">
        <f>G9</f>
        <v/>
      </c>
      <c r="C10" s="129">
        <f>1_Income!$B$7+1_Income!$B$8+IF(A10&gt;=1_Income!$D$9,1_Income!$B$9,0)</f>
        <v/>
      </c>
      <c r="D10" s="129">
        <f>2_Expenses!B26</f>
        <v/>
      </c>
      <c r="E10" s="129">
        <f>C10-D10</f>
        <v/>
      </c>
      <c r="F10" s="120" t="n">
        <v>0</v>
      </c>
      <c r="G10" s="129">
        <f>B10+E10-F10</f>
        <v/>
      </c>
      <c r="H10" s="178">
        <f>IF(E10&gt;=0,999,G10/ABS(2_Expenses!B33))</f>
        <v/>
      </c>
    </row>
    <row r="11" ht="15" customHeight="1" s="101">
      <c r="A11" s="176">
        <f>A10+30</f>
        <v/>
      </c>
      <c r="B11" s="129">
        <f>G10</f>
        <v/>
      </c>
      <c r="C11" s="129">
        <f>1_Income!$B$7+1_Income!$B$8+IF(A11&gt;=1_Income!$D$9,1_Income!$B$9,0)</f>
        <v/>
      </c>
      <c r="D11" s="129">
        <f>2_Expenses!B26</f>
        <v/>
      </c>
      <c r="E11" s="129">
        <f>C11-D11</f>
        <v/>
      </c>
      <c r="F11" s="120" t="n">
        <v>0</v>
      </c>
      <c r="G11" s="129">
        <f>B11+E11-F11</f>
        <v/>
      </c>
      <c r="H11" s="178">
        <f>IF(E11&gt;=0,999,G11/ABS(2_Expenses!B33))</f>
        <v/>
      </c>
    </row>
    <row r="12" ht="15" customHeight="1" s="101">
      <c r="A12" s="176">
        <f>A11+30</f>
        <v/>
      </c>
      <c r="B12" s="129">
        <f>G11</f>
        <v/>
      </c>
      <c r="C12" s="129">
        <f>1_Income!$B$7+1_Income!$B$8+IF(A12&gt;=1_Income!$D$9,1_Income!$B$9,0)</f>
        <v/>
      </c>
      <c r="D12" s="129">
        <f>2_Expenses!B26</f>
        <v/>
      </c>
      <c r="E12" s="129">
        <f>C12-D12</f>
        <v/>
      </c>
      <c r="F12" s="120" t="n">
        <v>0</v>
      </c>
      <c r="G12" s="129">
        <f>B12+E12-F12</f>
        <v/>
      </c>
      <c r="H12" s="178">
        <f>IF(E12&gt;=0,999,G12/ABS(2_Expenses!B33))</f>
        <v/>
      </c>
    </row>
    <row r="13" ht="15" customHeight="1" s="101">
      <c r="A13" s="176">
        <f>A12+30</f>
        <v/>
      </c>
      <c r="B13" s="129">
        <f>G12</f>
        <v/>
      </c>
      <c r="C13" s="129">
        <f>1_Income!$B$7+1_Income!$B$8+IF(A13&gt;=1_Income!$D$9,1_Income!$B$9,0)</f>
        <v/>
      </c>
      <c r="D13" s="129">
        <f>2_Expenses!B26</f>
        <v/>
      </c>
      <c r="E13" s="129">
        <f>C13-D13</f>
        <v/>
      </c>
      <c r="F13" s="120" t="n">
        <v>0</v>
      </c>
      <c r="G13" s="129">
        <f>B13+E13-F13</f>
        <v/>
      </c>
      <c r="H13" s="178">
        <f>IF(E13&gt;=0,999,G13/ABS(2_Expenses!B33))</f>
        <v/>
      </c>
    </row>
    <row r="14" ht="15" customHeight="1" s="101">
      <c r="A14" s="176">
        <f>A13+30</f>
        <v/>
      </c>
      <c r="B14" s="129">
        <f>G13</f>
        <v/>
      </c>
      <c r="C14" s="129">
        <f>1_Income!$B$7+1_Income!$B$8+IF(A14&gt;=1_Income!$D$9,1_Income!$B$9,0)</f>
        <v/>
      </c>
      <c r="D14" s="129">
        <f>2_Expenses!B26</f>
        <v/>
      </c>
      <c r="E14" s="129">
        <f>C14-D14</f>
        <v/>
      </c>
      <c r="F14" s="120" t="n">
        <v>0</v>
      </c>
      <c r="G14" s="129">
        <f>B14+E14-F14</f>
        <v/>
      </c>
      <c r="H14" s="178">
        <f>IF(E14&gt;=0,999,G14/ABS(2_Expenses!B33))</f>
        <v/>
      </c>
    </row>
    <row r="15" ht="15" customHeight="1" s="101">
      <c r="A15" s="176">
        <f>A14+30</f>
        <v/>
      </c>
      <c r="B15" s="129">
        <f>G14</f>
        <v/>
      </c>
      <c r="C15" s="129">
        <f>1_Income!$B$7+1_Income!$B$8+IF(A15&gt;=1_Income!$D$9,1_Income!$B$9,0)</f>
        <v/>
      </c>
      <c r="D15" s="129">
        <f>2_Expenses!B26</f>
        <v/>
      </c>
      <c r="E15" s="129">
        <f>C15-D15</f>
        <v/>
      </c>
      <c r="F15" s="120" t="n">
        <v>0</v>
      </c>
      <c r="G15" s="129">
        <f>B15+E15-F15</f>
        <v/>
      </c>
      <c r="H15" s="178">
        <f>IF(E15&gt;=0,999,G15/ABS(2_Expenses!B33))</f>
        <v/>
      </c>
    </row>
    <row r="17" ht="15" customHeight="1" s="101">
      <c r="A17" s="179" t="inlineStr">
        <is>
          <t>🚨 DANGER ZONE</t>
        </is>
      </c>
    </row>
    <row r="18" ht="15" customHeight="1" s="101">
      <c r="A18" s="100" t="inlineStr">
        <is>
          <t>When cash hits:</t>
        </is>
      </c>
      <c r="B18" s="129">
        <f>3_Assets!B23</f>
        <v/>
      </c>
      <c r="C18" s="135" t="inlineStr">
        <is>
          <t>← STOP ALL INVESTING</t>
        </is>
      </c>
    </row>
    <row r="19" ht="15" customHeight="1" s="101">
      <c r="A19" s="100" t="inlineStr">
        <is>
          <t>Current burn rate:</t>
        </is>
      </c>
      <c r="B19" s="129">
        <f>2_Expenses!B33</f>
        <v/>
      </c>
      <c r="C19" s="100" t="inlineStr">
        <is>
          <t>VND/month</t>
        </is>
      </c>
      <c r="D19" s="100" t="inlineStr">
        <is>
          <t>← Losing this much monthly</t>
        </is>
      </c>
    </row>
    <row r="21" ht="15.75" customHeight="1" s="101"/>
    <row r="22" ht="15.75" customHeight="1" s="101"/>
    <row r="23" ht="15.75" customHeight="1" s="101"/>
    <row r="24" ht="15.75" customHeight="1" s="101"/>
    <row r="25" ht="15.75" customHeight="1" s="101"/>
    <row r="26" ht="15.75" customHeight="1" s="101"/>
    <row r="27" ht="15.75" customHeight="1" s="101"/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5">
    <mergeCell ref="A2:H2"/>
    <mergeCell ref="D19:H19"/>
    <mergeCell ref="C18:H18"/>
    <mergeCell ref="A1:H1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100" min="1" max="1"/>
    <col width="12" customWidth="1" style="100" min="2" max="2"/>
    <col width="16" customWidth="1" style="100" min="3" max="3"/>
    <col width="18" customWidth="1" style="100" min="4" max="5"/>
    <col width="20" customWidth="1" style="100" min="6" max="6"/>
    <col width="16" customWidth="1" style="100" min="7" max="7"/>
    <col width="30" customWidth="1" style="100" min="8" max="8"/>
    <col width="8.710000000000001" customWidth="1" style="100" min="9" max="26"/>
  </cols>
  <sheetData>
    <row r="1" ht="30" customHeight="1" s="101">
      <c r="A1" s="116" t="inlineStr">
        <is>
          <t>SCENARIO ANALYSIS - Best/Base/Bear/Worst Cases</t>
        </is>
      </c>
      <c r="B1" s="111" t="n"/>
      <c r="C1" s="111" t="n"/>
      <c r="D1" s="111" t="n"/>
      <c r="E1" s="111" t="n"/>
      <c r="F1" s="111" t="n"/>
      <c r="G1" s="111" t="n"/>
      <c r="H1" s="112" t="n"/>
    </row>
    <row r="2" ht="30" customHeight="1" s="101">
      <c r="A2" s="142" t="inlineStr">
        <is>
          <t>⚙️ AUTO-CALCULATED from TAB 5. UPDATED: 150M freed up (Mother's Medical Reserve removed).</t>
        </is>
      </c>
    </row>
    <row r="3" ht="24.75" customHeight="1" s="101">
      <c r="A3" s="118" t="inlineStr">
        <is>
          <t>Scenario</t>
        </is>
      </c>
      <c r="B3" s="118" t="inlineStr">
        <is>
          <t>Probability</t>
        </is>
      </c>
      <c r="C3" s="118" t="inlineStr">
        <is>
          <t>Unemployment (mo)</t>
        </is>
      </c>
      <c r="D3" s="118" t="inlineStr">
        <is>
          <t>Total Burn</t>
        </is>
      </c>
      <c r="E3" s="118" t="inlineStr">
        <is>
          <t>Ending Cash</t>
        </is>
      </c>
      <c r="F3" s="118" t="inlineStr">
        <is>
          <t>Safe Investment</t>
        </is>
      </c>
      <c r="G3" s="118" t="inlineStr">
        <is>
          <t>FIRE Achievable?</t>
        </is>
      </c>
      <c r="H3" s="118" t="inlineStr">
        <is>
          <t>Action</t>
        </is>
      </c>
    </row>
    <row r="4" ht="15" customHeight="1" s="101">
      <c r="A4" s="114" t="inlineStr">
        <is>
          <t>BEST: Land job 1-2 months</t>
        </is>
      </c>
      <c r="B4" s="121">
        <f>5_Career!B6</f>
        <v/>
      </c>
      <c r="C4" s="170">
        <f>5_Career!F6</f>
        <v/>
      </c>
      <c r="D4" s="129">
        <f>C4*2_Expenses!B33</f>
        <v/>
      </c>
      <c r="E4" s="129">
        <f>3_Assets!B24-D4</f>
        <v/>
      </c>
      <c r="F4" s="129">
        <f>E4*0.5</f>
        <v/>
      </c>
      <c r="G4" s="125" t="inlineStr">
        <is>
          <t>✅ YES</t>
        </is>
      </c>
      <c r="H4" s="121" t="inlineStr">
        <is>
          <t>Deploy 340M now, DCA aggressively</t>
        </is>
      </c>
    </row>
    <row r="5" ht="15" customHeight="1" s="101">
      <c r="A5" s="180" t="inlineStr">
        <is>
          <t>BASE: Land job 3-4 months</t>
        </is>
      </c>
      <c r="B5" s="121">
        <f>5_Career!B7</f>
        <v/>
      </c>
      <c r="C5" s="170">
        <f>5_Career!F7</f>
        <v/>
      </c>
      <c r="D5" s="129">
        <f>C5*2_Expenses!B33</f>
        <v/>
      </c>
      <c r="E5" s="129">
        <f>3_Assets!B24-D5</f>
        <v/>
      </c>
      <c r="F5" s="129">
        <f>E5*0.35</f>
        <v/>
      </c>
      <c r="G5" s="125" t="inlineStr">
        <is>
          <t>✅ YES</t>
        </is>
      </c>
      <c r="H5" s="121" t="inlineStr">
        <is>
          <t>Deploy 250M now, hold 90M reserve</t>
        </is>
      </c>
    </row>
    <row r="6" ht="15" customHeight="1" s="101">
      <c r="A6" s="114" t="inlineStr">
        <is>
          <t>BEAR: Land job 6 months</t>
        </is>
      </c>
      <c r="B6" s="121">
        <f>5_Career!B8</f>
        <v/>
      </c>
      <c r="C6" s="170">
        <f>5_Career!F8</f>
        <v/>
      </c>
      <c r="D6" s="129">
        <f>C6*2_Expenses!B33</f>
        <v/>
      </c>
      <c r="E6" s="129">
        <f>3_Assets!B24-D6</f>
        <v/>
      </c>
      <c r="F6" s="129">
        <f>E6*0.2</f>
        <v/>
      </c>
      <c r="G6" s="181" t="inlineStr">
        <is>
          <t>⚠️ TIGHT</t>
        </is>
      </c>
      <c r="H6" s="121" t="inlineStr">
        <is>
          <t>Deploy 150M, cut expenses 30%</t>
        </is>
      </c>
    </row>
    <row r="7" ht="15" customHeight="1" s="101">
      <c r="A7" s="182" t="inlineStr">
        <is>
          <t>WORST: No job 12+ months</t>
        </is>
      </c>
      <c r="B7" s="121" t="inlineStr">
        <is>
          <t>10%</t>
        </is>
      </c>
      <c r="C7" s="120" t="n">
        <v>12</v>
      </c>
      <c r="D7" s="129">
        <f>C7*2_Expenses!B33</f>
        <v/>
      </c>
      <c r="E7" s="129">
        <f>3_Assets!B24-D7</f>
        <v/>
      </c>
      <c r="F7" s="129" t="n">
        <v>0</v>
      </c>
      <c r="G7" s="123" t="inlineStr">
        <is>
          <t>❌ NO</t>
        </is>
      </c>
      <c r="H7" s="121" t="inlineStr">
        <is>
          <t>STOP investing, survival mode</t>
        </is>
      </c>
    </row>
    <row r="9" ht="15" customHeight="1" s="101">
      <c r="A9" s="154" t="inlineStr">
        <is>
          <t>💡 RECOMMENDED STRATEGY</t>
        </is>
      </c>
    </row>
    <row r="10" ht="15" customHeight="1" s="101">
      <c r="A10" s="100" t="inlineStr">
        <is>
          <t>1. If confident of 3-month job search:</t>
        </is>
      </c>
      <c r="C10" s="183" t="inlineStr">
        <is>
          <t>Deploy 340M into VN Index NOW (12x P/E opportunity)</t>
        </is>
      </c>
    </row>
    <row r="11" ht="15" customHeight="1" s="101">
      <c r="A11" s="100" t="inlineStr">
        <is>
          <t>2. If uncertain (6+ months possible):</t>
        </is>
      </c>
      <c r="C11" s="184" t="inlineStr">
        <is>
          <t>Deploy 150-200M now, hold 140-190M reserve</t>
        </is>
      </c>
    </row>
    <row r="12" ht="15" customHeight="1" s="101">
      <c r="A12" s="100" t="inlineStr">
        <is>
          <t>3. If very pessimistic (12+ months):</t>
        </is>
      </c>
      <c r="C12" s="185" t="inlineStr">
        <is>
          <t>Deploy 0M, focus on securing income FIRST</t>
        </is>
      </c>
    </row>
    <row r="21" ht="15.75" customHeight="1" s="101"/>
    <row r="22" ht="15.75" customHeight="1" s="101"/>
    <row r="23" ht="15.75" customHeight="1" s="101"/>
    <row r="24" ht="15.75" customHeight="1" s="101"/>
    <row r="25" ht="15.75" customHeight="1" s="101"/>
    <row r="26" ht="15.75" customHeight="1" s="101"/>
    <row r="27" ht="15.75" customHeight="1" s="101"/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9">
    <mergeCell ref="A9:H9"/>
    <mergeCell ref="C11:H11"/>
    <mergeCell ref="C10:H10"/>
    <mergeCell ref="A2:H2"/>
    <mergeCell ref="A11:B11"/>
    <mergeCell ref="A10:B10"/>
    <mergeCell ref="A1:H1"/>
    <mergeCell ref="C12:H12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2" customWidth="1" style="100" min="1" max="1"/>
    <col width="18" customWidth="1" style="100" min="2" max="2"/>
    <col width="16" customWidth="1" style="100" min="3" max="3"/>
    <col width="18" customWidth="1" style="100" min="4" max="4"/>
    <col width="14" customWidth="1" style="100" min="5" max="5"/>
    <col width="40" customWidth="1" style="100" min="6" max="6"/>
    <col width="8.710000000000001" customWidth="1" style="100" min="7" max="26"/>
  </cols>
  <sheetData>
    <row r="1" ht="34.5" customHeight="1" s="101">
      <c r="A1" s="186" t="inlineStr">
        <is>
          <t>MINIMUM VIABLE FREEDOM (MVF) - Your Safety Net</t>
        </is>
      </c>
      <c r="B1" s="111" t="n"/>
      <c r="C1" s="111" t="n"/>
      <c r="D1" s="111" t="n"/>
      <c r="E1" s="111" t="n"/>
      <c r="F1" s="112" t="n"/>
    </row>
    <row r="2" ht="34.5" customHeight="1" s="101">
      <c r="A2" s="187" t="inlineStr">
        <is>
          <t>💜 Not FIRE. MVF = Freedom from dependency, abuse, bad situations. Your autonomy number.</t>
        </is>
      </c>
    </row>
    <row r="3" ht="24.75" customHeight="1" s="101">
      <c r="A3" s="186" t="inlineStr">
        <is>
          <t>MVF Component</t>
        </is>
      </c>
      <c r="B3" s="186" t="inlineStr">
        <is>
          <t>Monthly Cost</t>
        </is>
      </c>
      <c r="C3" s="186" t="inlineStr">
        <is>
          <t>Months Coverage</t>
        </is>
      </c>
      <c r="D3" s="186" t="inlineStr">
        <is>
          <t>Total Reserve</t>
        </is>
      </c>
      <c r="E3" s="186" t="inlineStr">
        <is>
          <t>Status</t>
        </is>
      </c>
      <c r="F3" s="186" t="inlineStr">
        <is>
          <t>Purpose</t>
        </is>
      </c>
    </row>
    <row r="4" ht="15" customHeight="1" s="101">
      <c r="A4" s="188" t="inlineStr">
        <is>
          <t>1. Emergency Exit Fund</t>
        </is>
      </c>
      <c r="B4" s="111" t="n"/>
      <c r="C4" s="111" t="n"/>
      <c r="D4" s="111" t="n"/>
      <c r="E4" s="111" t="n"/>
      <c r="F4" s="112" t="n"/>
    </row>
    <row r="5" ht="15" customHeight="1" s="101">
      <c r="A5" s="100" t="inlineStr">
        <is>
          <t>Survival Budget (Bare minimum)</t>
        </is>
      </c>
      <c r="B5" s="129" t="n">
        <v>18493417</v>
      </c>
      <c r="C5" s="120" t="n">
        <v>6</v>
      </c>
      <c r="D5" s="129">
        <f>B5*C5</f>
        <v/>
      </c>
      <c r="E5" s="123" t="inlineStr">
        <is>
          <t>CRITICAL</t>
        </is>
      </c>
      <c r="F5" s="121" t="inlineStr">
        <is>
          <t>Leave bad job/relationship with NO income</t>
        </is>
      </c>
    </row>
    <row r="6" ht="15" customHeight="1" s="101">
      <c r="A6" s="188" t="inlineStr">
        <is>
          <t>2. Housing Security Fund</t>
        </is>
      </c>
      <c r="B6" s="111" t="n"/>
      <c r="C6" s="111" t="n"/>
      <c r="D6" s="111" t="n"/>
      <c r="E6" s="111" t="n"/>
      <c r="F6" s="112" t="n"/>
    </row>
    <row r="7" ht="15" customHeight="1" s="101">
      <c r="A7" s="100" t="inlineStr">
        <is>
          <t>First/Last/Deposit (New rental)</t>
        </is>
      </c>
      <c r="B7" s="124" t="n">
        <v>9000000</v>
      </c>
      <c r="C7" s="120" t="n">
        <v>3</v>
      </c>
      <c r="D7" s="129">
        <f>B7*C7</f>
        <v/>
      </c>
      <c r="E7" s="181" t="inlineStr">
        <is>
          <t>HIGH</t>
        </is>
      </c>
      <c r="F7" s="121" t="inlineStr">
        <is>
          <t>Move out immediately (not back to mother's). 3 months = deposit + first + last.</t>
        </is>
      </c>
    </row>
    <row r="8" ht="15" customHeight="1" s="101">
      <c r="A8" s="100" t="inlineStr">
        <is>
          <t>Emergency Hotel/AirBnB (Escape)</t>
        </is>
      </c>
      <c r="B8" s="124" t="n">
        <v>3000000</v>
      </c>
      <c r="C8" s="120" t="n">
        <v>1</v>
      </c>
      <c r="D8" s="129">
        <f>B8*C8</f>
        <v/>
      </c>
      <c r="E8" s="123" t="inlineStr">
        <is>
          <t>CRITICAL</t>
        </is>
      </c>
      <c r="F8" s="121" t="inlineStr">
        <is>
          <t>Immediate safe housing in crisis. 1 month hotel while finding new place.</t>
        </is>
      </c>
    </row>
    <row r="9" ht="15" customHeight="1" s="101">
      <c r="A9" s="188" t="inlineStr">
        <is>
          <t>3. Healthcare &amp; Trauma Recovery</t>
        </is>
      </c>
      <c r="B9" s="111" t="n"/>
      <c r="C9" s="111" t="n"/>
      <c r="D9" s="111" t="n"/>
      <c r="E9" s="111" t="n"/>
      <c r="F9" s="112" t="n"/>
    </row>
    <row r="10" ht="15" customHeight="1" s="101">
      <c r="A10" s="100" t="inlineStr">
        <is>
          <t>Therapy/Counseling (12 months)</t>
        </is>
      </c>
      <c r="B10" s="124" t="n">
        <v>5000000</v>
      </c>
      <c r="C10" s="120" t="n">
        <v>12</v>
      </c>
      <c r="D10" s="129">
        <f>B10*C10</f>
        <v/>
      </c>
      <c r="E10" s="181" t="inlineStr">
        <is>
          <t>CRITICAL</t>
        </is>
      </c>
      <c r="F10" s="121" t="inlineStr">
        <is>
          <t>Dr. Sarah Chen: sovereignty hypothesis, attachment repair, mẹ pattern work. NON-NEGOTIABLE.</t>
        </is>
      </c>
    </row>
    <row r="11" ht="15" customHeight="1" s="101">
      <c r="A11" s="100" t="inlineStr">
        <is>
          <t>Medical Emergency Fund</t>
        </is>
      </c>
      <c r="B11" s="124" t="n">
        <v>20000000</v>
      </c>
      <c r="C11" s="120" t="n">
        <v>1</v>
      </c>
      <c r="D11" s="129">
        <f>B11*C11</f>
        <v/>
      </c>
      <c r="E11" s="189" t="inlineStr">
        <is>
          <t>MEDIUM</t>
        </is>
      </c>
      <c r="F11" s="121" t="inlineStr">
        <is>
          <t>Unexpected health issues without insurance</t>
        </is>
      </c>
    </row>
    <row r="12" ht="15" customHeight="1" s="101">
      <c r="A12" s="188" t="inlineStr">
        <is>
          <t>4. Geographic Freedom Fund</t>
        </is>
      </c>
      <c r="B12" s="111" t="n"/>
      <c r="C12" s="111" t="n"/>
      <c r="D12" s="111" t="n"/>
      <c r="E12" s="111" t="n"/>
      <c r="F12" s="112" t="n"/>
    </row>
    <row r="13" ht="15" customHeight="1" s="101">
      <c r="A13" s="100" t="inlineStr">
        <is>
          <t>Relocation Fund (Domestic)</t>
        </is>
      </c>
      <c r="B13" s="124" t="n">
        <v>15000000</v>
      </c>
      <c r="C13" s="120" t="n">
        <v>1</v>
      </c>
      <c r="D13" s="129">
        <f>B13*C13</f>
        <v/>
      </c>
      <c r="E13" s="189" t="inlineStr">
        <is>
          <t>MEDIUM</t>
        </is>
      </c>
      <c r="F13" s="121" t="inlineStr">
        <is>
          <t>Move to different city if needed</t>
        </is>
      </c>
    </row>
    <row r="14" ht="15" customHeight="1" s="101">
      <c r="A14" s="100" t="inlineStr">
        <is>
          <t>International Escape Fund</t>
        </is>
      </c>
      <c r="B14" s="124" t="n">
        <v>30000000</v>
      </c>
      <c r="C14" s="120" t="n">
        <v>3</v>
      </c>
      <c r="D14" s="129">
        <f>B14*C14</f>
        <v/>
      </c>
      <c r="E14" s="125" t="inlineStr">
        <is>
          <t>MEDIUM</t>
        </is>
      </c>
      <c r="F14" s="121" t="inlineStr">
        <is>
          <t>Leave country if needed. Also partial buffer for Nordic PhD transition exploration.</t>
        </is>
      </c>
    </row>
    <row r="15" ht="15" customHeight="1" s="101">
      <c r="A15" s="188" t="inlineStr">
        <is>
          <t>5. Mission Work / Low-Income Phase</t>
        </is>
      </c>
      <c r="B15" s="111" t="n"/>
      <c r="C15" s="111" t="n"/>
      <c r="D15" s="111" t="n"/>
      <c r="E15" s="111" t="n"/>
      <c r="F15" s="112" t="n"/>
    </row>
    <row r="16" ht="15" customHeight="1" s="101">
      <c r="A16" s="100" t="inlineStr">
        <is>
          <t>Income Gap Coverage (2 years)</t>
        </is>
      </c>
      <c r="B16" s="124" t="n">
        <v>18493417</v>
      </c>
      <c r="C16" s="120" t="n">
        <v>24</v>
      </c>
      <c r="D16" s="129">
        <f>B16*C16</f>
        <v/>
      </c>
      <c r="E16" s="189" t="inlineStr">
        <is>
          <t>CRITICAL</t>
        </is>
      </c>
      <c r="F16" s="121" t="inlineStr">
        <is>
          <t>Protect design-me sprint + PhD exploration + career pivot. Your TIME freedom fund. Full 2-year worst-case cushion assuming zero other income.</t>
        </is>
      </c>
    </row>
    <row r="18" ht="15.75" customHeight="1" s="101">
      <c r="A18" s="190" t="inlineStr">
        <is>
          <t>MINIMUM VIABLE FREEDOM NUMBER</t>
        </is>
      </c>
      <c r="B18" s="100" t="n"/>
      <c r="D18" s="191">
        <f>SUM(D5,D7,D8,D10,D11,D13,D14,D16)</f>
        <v/>
      </c>
      <c r="E18" s="100" t="n"/>
    </row>
    <row r="20" ht="15" customHeight="1" s="101">
      <c r="A20" s="192" t="inlineStr">
        <is>
          <t>📊 MVF STATUS CHECK</t>
        </is>
      </c>
    </row>
    <row r="21" ht="15.75" customHeight="1" s="101">
      <c r="A21" s="100" t="inlineStr">
        <is>
          <t>Your Liquid Assets (&lt;30 days to cash):</t>
        </is>
      </c>
      <c r="D21" s="129">
        <f>SUM(3_Assets!B5:B15)</f>
        <v/>
      </c>
      <c r="E21" s="139" t="inlineStr">
        <is>
          <t>← Cash + ETFs + Gold + USD (excludes real estate)</t>
        </is>
      </c>
    </row>
    <row r="22" ht="15.75" customHeight="1" s="101">
      <c r="A22" s="100" t="inlineStr">
        <is>
          <t>Your MVF Target:</t>
        </is>
      </c>
      <c r="D22" s="129">
        <f>D18</f>
        <v/>
      </c>
      <c r="E22" s="139" t="inlineStr">
        <is>
          <t>← Your safety number</t>
        </is>
      </c>
    </row>
    <row r="23" ht="15.75" customHeight="1" s="101">
      <c r="A23" s="100" t="inlineStr">
        <is>
          <t>MVF Coverage Ratio:</t>
        </is>
      </c>
      <c r="D23" s="193">
        <f>D21/D18</f>
        <v/>
      </c>
      <c r="E23" s="194">
        <f>IF(D23&gt;=2,"✅ SAFE",IF(D23&gt;=1,"⚠️ ADEQUATE","❌ BUILD MORE"))</f>
        <v/>
      </c>
    </row>
    <row r="24" ht="15.75" customHeight="1" s="101">
      <c r="A24" s="100" t="inlineStr">
        <is>
          <t>Surplus Above MVF:</t>
        </is>
      </c>
      <c r="D24" s="129">
        <f>D21-D18</f>
        <v/>
      </c>
      <c r="E24" s="139" t="inlineStr">
        <is>
          <t>← Available for growth investing</t>
        </is>
      </c>
    </row>
    <row r="25" ht="15.75" customHeight="1" s="101"/>
    <row r="26" ht="15.75" customHeight="1" s="101">
      <c r="A26" s="195" t="inlineStr">
        <is>
          <t>💡 INVESTMENT DECISION FRAMEWORK</t>
        </is>
      </c>
    </row>
    <row r="27" ht="15.75" customHeight="1" s="101">
      <c r="A27" s="185" t="inlineStr">
        <is>
          <t>Rule 1: MVF is UNTOUCHABLE</t>
        </is>
      </c>
    </row>
    <row r="28" ht="15.75" customHeight="1" s="101">
      <c r="A28" s="196" t="inlineStr">
        <is>
          <t>Never invest money needed for MVF. Freedom &gt; Returns.</t>
        </is>
      </c>
    </row>
    <row r="29" ht="15.75" customHeight="1" s="101">
      <c r="A29" s="183" t="inlineStr">
        <is>
          <t>Rule 2: Invest ONLY surplus above MVF</t>
        </is>
      </c>
    </row>
    <row r="30" ht="15.75" customHeight="1" s="101">
      <c r="A30" s="196" t="inlineStr">
        <is>
          <t>Safe to invest: =MAX(0, Current Assets - MVF - Tactical Buffer)</t>
        </is>
      </c>
    </row>
    <row r="31" ht="15.75" customHeight="1" s="101">
      <c r="A31" s="184" t="inlineStr">
        <is>
          <t>Rule 3: Build MVF BEFORE aggressive investing</t>
        </is>
      </c>
    </row>
    <row r="32" ht="15.75" customHeight="1" s="101">
      <c r="A32" s="196" t="inlineStr">
        <is>
          <t>If MVF &lt; 100%, pause growth investing until MVF fully funded.</t>
        </is>
      </c>
    </row>
    <row r="33" ht="15.75" customHeight="1" s="101">
      <c r="A33" s="197" t="inlineStr">
        <is>
          <t>💜 MVF REFRAME FOR NGỌC</t>
        </is>
      </c>
    </row>
    <row r="34" ht="15.75" customHeight="1" s="101">
      <c r="A34" s="198" t="inlineStr">
        <is>
          <t>Your MVF is not about money — it's about CLARITY.</t>
        </is>
      </c>
    </row>
    <row r="35" ht="15.75" customHeight="1" s="101">
      <c r="A35" s="198" t="inlineStr">
        <is>
          <t>MVF = the savings that protect your design-me sprint from being interrupted before you know your own compass.</t>
        </is>
      </c>
    </row>
    <row r="36" ht="15.75" customHeight="1" s="101">
      <c r="A36" s="198" t="inlineStr">
        <is>
          <t>The real scarcity is TIME, not VND. 15 years were spent on someone else's compass. This fund buys time to get it right.</t>
        </is>
      </c>
    </row>
    <row r="37" ht="15.75" customHeight="1" s="101"/>
    <row r="38" ht="15.75" customHeight="1" s="101">
      <c r="A38" s="197" t="inlineStr">
        <is>
          <t>📊 MVF vs. YOUR SITUATION</t>
        </is>
      </c>
    </row>
    <row r="39" ht="15.75" customHeight="1" s="101">
      <c r="A39" s="198" t="inlineStr">
        <is>
          <t>Liquid savings (cash only):</t>
        </is>
      </c>
      <c r="D39" s="100" t="n">
        <v>782888394</v>
      </c>
    </row>
    <row r="40" ht="15.75" customHeight="1" s="101">
      <c r="A40" s="198" t="inlineStr">
        <is>
          <t>Liquid savings + ETFs:</t>
        </is>
      </c>
      <c r="D40" s="100" t="n">
        <v>1273388394</v>
      </c>
    </row>
    <row r="41" ht="15.75" customHeight="1" s="101">
      <c r="A41" s="198" t="inlineStr">
        <is>
          <t>Net monthly burn (after rental income):</t>
        </is>
      </c>
      <c r="D41" s="100" t="n">
        <v>13456427</v>
      </c>
      <c r="E41" s="100" t="inlineStr">
        <is>
          <t>← Not 45.9M — rental offsets</t>
        </is>
      </c>
    </row>
    <row r="42" ht="15.75" customHeight="1" s="101">
      <c r="A42" s="198" t="inlineStr">
        <is>
          <t>Months of runway at net burn:</t>
        </is>
      </c>
      <c r="D42" s="100">
        <f>D39/D41</f>
        <v/>
      </c>
      <c r="E42" s="100" t="inlineStr">
        <is>
          <t>← Cash only, conservative</t>
        </is>
      </c>
    </row>
    <row r="43" ht="15.75" customHeight="1" s="101"/>
    <row r="44" ht="15.75" customHeight="1" s="101">
      <c r="A44" s="198" t="inlineStr">
        <is>
          <t>Income rule: No income-generating activity before Week 6 (Apr 13).</t>
        </is>
      </c>
    </row>
    <row r="45" ht="15.75" customHeight="1" s="101">
      <c r="A45" s="198" t="inlineStr">
        <is>
          <t>After Week 6: open ONE consulting channel only if body still uneasy.</t>
        </is>
      </c>
    </row>
    <row r="46" ht="15.75" customHeight="1" s="101">
      <c r="A46" s="198" t="inlineStr">
        <is>
          <t>Unemployment insurance (24.8M/mo) expected from May 11 — further extends runway.</t>
        </is>
      </c>
    </row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21">
    <mergeCell ref="E24:F24"/>
    <mergeCell ref="A27:F27"/>
    <mergeCell ref="E23:F23"/>
    <mergeCell ref="A12:F12"/>
    <mergeCell ref="A26:F26"/>
    <mergeCell ref="B18:C18"/>
    <mergeCell ref="A2:F2"/>
    <mergeCell ref="A32:F32"/>
    <mergeCell ref="A4:F4"/>
    <mergeCell ref="A20:F20"/>
    <mergeCell ref="A29:F29"/>
    <mergeCell ref="A28:F28"/>
    <mergeCell ref="A9:F9"/>
    <mergeCell ref="A31:F31"/>
    <mergeCell ref="A30:F30"/>
    <mergeCell ref="A15:F15"/>
    <mergeCell ref="A1:F1"/>
    <mergeCell ref="A6:F6"/>
    <mergeCell ref="E22:F22"/>
    <mergeCell ref="E18:F18"/>
    <mergeCell ref="E21:F2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2026-02-16T08:33:22Z</dcterms:created>
  <dcterms:modified xmlns:dcterms="http://purl.org/dc/terms/" xmlns:xsi="http://www.w3.org/2001/XMLSchema-instance" xsi:type="dcterms:W3CDTF">2026-05-26T07:39:25Z</dcterms:modified>
  <cp:revision>0</cp:revision>
</cp:coreProperties>
</file>